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193e87fab2f1ea37/Desktop/Data Analystis Projects/"/>
    </mc:Choice>
  </mc:AlternateContent>
  <xr:revisionPtr revIDLastSave="15" documentId="8_{66E115A5-7238-4FBD-836F-65F7C22AD00B}" xr6:coauthVersionLast="47" xr6:coauthVersionMax="47" xr10:uidLastSave="{F32DDBA3-CF93-4D0D-BB4F-E5B7FB1E8522}"/>
  <bookViews>
    <workbookView xWindow="-108" yWindow="-108" windowWidth="23256" windowHeight="12456" xr2:uid="{C0893FBD-34B3-420E-B0D6-EC330180DDEA}"/>
  </bookViews>
  <sheets>
    <sheet name="Dashboard" sheetId="6" r:id="rId1"/>
    <sheet name="Detail1" sheetId="5" r:id="rId2"/>
    <sheet name="Sheet1" sheetId="4" r:id="rId3"/>
    <sheet name="SalesData" sheetId="3" r:id="rId4"/>
  </sheets>
  <definedNames>
    <definedName name="Slicer_Product">#N/A</definedName>
    <definedName name="Slicer_Region">#N/A</definedName>
    <definedName name="Slicer_Sales_Pers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3" l="1"/>
  <c r="K2" i="3"/>
  <c r="K8" i="3"/>
  <c r="K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3" i="3"/>
  <c r="I4" i="3"/>
  <c r="I5" i="3"/>
  <c r="I6" i="3"/>
  <c r="I2" i="3"/>
  <c r="H51" i="3"/>
  <c r="G51" i="3"/>
  <c r="F51" i="3"/>
  <c r="H50" i="3"/>
  <c r="G50" i="3"/>
  <c r="F50" i="3"/>
  <c r="H49" i="3"/>
  <c r="G49" i="3"/>
  <c r="F49" i="3"/>
  <c r="H48" i="3"/>
  <c r="G48" i="3"/>
  <c r="F48" i="3"/>
  <c r="H47" i="3"/>
  <c r="G47" i="3"/>
  <c r="F47" i="3"/>
  <c r="H46" i="3"/>
  <c r="G46" i="3"/>
  <c r="F46" i="3"/>
  <c r="H45" i="3"/>
  <c r="G45" i="3"/>
  <c r="F45" i="3"/>
  <c r="H44" i="3"/>
  <c r="G44" i="3"/>
  <c r="F44" i="3"/>
  <c r="H43" i="3"/>
  <c r="G43" i="3"/>
  <c r="F43" i="3"/>
  <c r="H42" i="3"/>
  <c r="G42" i="3"/>
  <c r="F42" i="3"/>
  <c r="H41" i="3"/>
  <c r="G41" i="3"/>
  <c r="F41" i="3"/>
  <c r="H40" i="3"/>
  <c r="G40" i="3"/>
  <c r="F40" i="3"/>
  <c r="H39" i="3"/>
  <c r="G39" i="3"/>
  <c r="F39" i="3"/>
  <c r="H38" i="3"/>
  <c r="G38" i="3"/>
  <c r="F38" i="3"/>
  <c r="H37" i="3"/>
  <c r="G37" i="3"/>
  <c r="F37" i="3"/>
  <c r="H36" i="3"/>
  <c r="G36" i="3"/>
  <c r="F36" i="3"/>
  <c r="H35" i="3"/>
  <c r="G35" i="3"/>
  <c r="F35" i="3"/>
  <c r="H34" i="3"/>
  <c r="G34" i="3"/>
  <c r="F34" i="3"/>
  <c r="H33" i="3"/>
  <c r="G33" i="3"/>
  <c r="F33" i="3"/>
  <c r="H32" i="3"/>
  <c r="G32" i="3"/>
  <c r="F32" i="3"/>
  <c r="H31" i="3"/>
  <c r="G31" i="3"/>
  <c r="F31" i="3"/>
  <c r="H30" i="3"/>
  <c r="G30" i="3"/>
  <c r="F30" i="3"/>
  <c r="H29" i="3"/>
  <c r="G29" i="3"/>
  <c r="F29" i="3"/>
  <c r="H28" i="3"/>
  <c r="G28" i="3"/>
  <c r="F28" i="3"/>
  <c r="H27" i="3"/>
  <c r="G27" i="3"/>
  <c r="F27" i="3"/>
  <c r="H26" i="3"/>
  <c r="G26" i="3"/>
  <c r="F26" i="3"/>
  <c r="H25" i="3"/>
  <c r="G25" i="3"/>
  <c r="F25" i="3"/>
  <c r="H24" i="3"/>
  <c r="G24" i="3"/>
  <c r="F24" i="3"/>
  <c r="H23" i="3"/>
  <c r="G23" i="3"/>
  <c r="F23" i="3"/>
  <c r="H22" i="3"/>
  <c r="G22" i="3"/>
  <c r="F22" i="3"/>
  <c r="H21" i="3"/>
  <c r="G21" i="3"/>
  <c r="F21" i="3"/>
  <c r="H20" i="3"/>
  <c r="G20" i="3"/>
  <c r="F20" i="3"/>
  <c r="H19" i="3"/>
  <c r="G19" i="3"/>
  <c r="F19" i="3"/>
  <c r="H18" i="3"/>
  <c r="G18" i="3"/>
  <c r="F18" i="3"/>
  <c r="H17" i="3"/>
  <c r="G17" i="3"/>
  <c r="F17" i="3"/>
  <c r="H16" i="3"/>
  <c r="G16" i="3"/>
  <c r="F16" i="3"/>
  <c r="H15" i="3"/>
  <c r="G15" i="3"/>
  <c r="F15" i="3"/>
  <c r="H14" i="3"/>
  <c r="G14" i="3"/>
  <c r="F14" i="3"/>
  <c r="H13" i="3"/>
  <c r="G13" i="3"/>
  <c r="F13" i="3"/>
  <c r="H12" i="3"/>
  <c r="G12" i="3"/>
  <c r="F12" i="3"/>
  <c r="H11" i="3"/>
  <c r="G11" i="3"/>
  <c r="F11" i="3"/>
  <c r="H10" i="3"/>
  <c r="G10" i="3"/>
  <c r="F10" i="3"/>
  <c r="H9" i="3"/>
  <c r="G9" i="3"/>
  <c r="F9" i="3"/>
  <c r="H8" i="3"/>
  <c r="G8" i="3"/>
  <c r="F8" i="3"/>
  <c r="H7" i="3"/>
  <c r="G7" i="3"/>
  <c r="F7" i="3"/>
  <c r="H6" i="3"/>
  <c r="G6" i="3"/>
  <c r="F6" i="3"/>
  <c r="H5" i="3"/>
  <c r="G5" i="3"/>
  <c r="F5" i="3"/>
  <c r="H4" i="3"/>
  <c r="G4" i="3"/>
  <c r="F4" i="3"/>
  <c r="H3" i="3"/>
  <c r="G3" i="3"/>
  <c r="F3" i="3"/>
  <c r="H2" i="3"/>
  <c r="G2" i="3"/>
  <c r="F2" i="3"/>
</calcChain>
</file>

<file path=xl/sharedStrings.xml><?xml version="1.0" encoding="utf-8"?>
<sst xmlns="http://schemas.openxmlformats.org/spreadsheetml/2006/main" count="367" uniqueCount="44">
  <si>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</si>
  <si>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</si>
  <si>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</si>
  <si>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</si>
  <si>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</si>
  <si>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</si>
  <si>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</si>
  <si>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</si>
  <si>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</si>
  <si>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</si>
  <si>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</si>
  <si>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</si>
  <si>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</si>
  <si>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</si>
  <si>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</si>
  <si>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</si>
  <si>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</si>
  <si>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</si>
  <si>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</si>
  <si>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</si>
  <si>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</si>
  <si>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</si>
  <si>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</si>
  <si>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</si>
  <si>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</si>
  <si>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</si>
  <si>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</si>
  <si>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</si>
  <si>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</si>
  <si>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Grand Total</t>
  </si>
  <si>
    <t>Unit Sold</t>
  </si>
  <si>
    <t>Total Profit</t>
  </si>
  <si>
    <t>Average Sales</t>
  </si>
  <si>
    <t>Profit</t>
  </si>
  <si>
    <t>Row Labels</t>
  </si>
  <si>
    <t>Sum of Total Sales</t>
  </si>
  <si>
    <t>Sum of Units Sold</t>
  </si>
  <si>
    <t>Details for Sum of Total Sales</t>
  </si>
  <si>
    <t>formula</t>
  </si>
  <si>
    <t>Formula2</t>
  </si>
  <si>
    <t>Formula3</t>
  </si>
  <si>
    <t>Formula4</t>
  </si>
  <si>
    <t>Formula5</t>
  </si>
  <si>
    <t>Formula1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</si>
</sst>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_ &quot;Rs.&quot;\ * #,##0_ ;_ &quot;Rs.&quot;\ * \-#,##0_ ;_ &quot;Rs.&quot;\ * &quot;-&quot;_ ;_ @_ "/>
    <numFmt numFmtId="165" formatCode="_ &quot;Rs.&quot;\ * ##\.##,&quot;Lakhs&quot;\ "/>
    <numFmt numFmtId="166" formatCode="_ &quot;Rs.&quot;\ * ##\.##,&quot;Lakhs&quot;"/>
  </numFmts>
  <fonts count="4" x14ac:knownFonts="1">
    <font>
      <sz val="11"/>
      <color theme="1"/>
      <name val="Aptos Narrow"/>
      <family val="2"/>
      <scheme val="minor"/>
    </font>
    <font>
      <sz val="11"/>
      <color theme="1"/>
      <name val="Aptos Narrow"/>
      <family val="2"/>
      <scheme val="minor"/>
    </font>
    <font>
      <sz val="11"/>
      <color theme="0"/>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4">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0" fontId="2" fillId="2" borderId="0" xfId="0" applyFont="1" applyFill="1" applyAlignment="1">
      <alignment horizontal="center" vertical="center"/>
    </xf>
    <xf numFmtId="164" fontId="0" fillId="0" borderId="0" xfId="0" applyNumberFormat="1"/>
    <xf numFmtId="0" fontId="0" fillId="0" borderId="0" xfId="0" pivotButton="1"/>
    <xf numFmtId="165" fontId="0" fillId="0" borderId="0" xfId="0" applyNumberFormat="1"/>
    <xf numFmtId="166" fontId="0" fillId="0" borderId="0" xfId="0" applyNumberFormat="1"/>
    <xf numFmtId="14" fontId="0" fillId="0" borderId="0" xfId="0" applyNumberFormat="1"/>
    <xf numFmtId="0" fontId="3" fillId="0" borderId="0" xfId="0" applyFont="1"/>
    <xf numFmtId="43" fontId="0" fillId="0" borderId="0" xfId="2" applyFont="1"/>
    <xf numFmtId="0" fontId="0" fillId="0" borderId="0" xfId="0" applyNumberFormat="1"/>
  </cellXfs>
  <cellStyles count="3">
    <cellStyle name="Comma" xfId="2" builtinId="3"/>
    <cellStyle name="Currency [0]" xfId="1" builtinId="7"/>
    <cellStyle name="Normal" xfId="0" builtinId="0"/>
  </cellStyles>
  <dxfs count="9">
    <dxf>
      <numFmt numFmtId="164" formatCode="_ &quot;Rs.&quot;\ * #,##0_ ;_ &quot;Rs.&quot;\ * \-#,##0_ ;_ &quot;Rs.&quot;\ * &quot;-&quot;_ ;_ @_ "/>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
      <numFmt numFmtId="19" formatCode="dd/mm/yyyy"/>
    </dxf>
  </dxfs>
  <tableStyles count="1" defaultTableStyle="TableStyleMedium2" defaultPivotStyle="PivotStyleLight16">
    <tableStyle name="Invisible" pivot="0" table="0" count="0" xr9:uid="{BDFCBA0C-0FAD-47E9-B8E0-311E6D44976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file.xlsx]Sheet1!PivotTable5</c:name>
    <c:fmtId val="11"/>
  </c:pivotSource>
  <c:chart>
    <c:autoTitleDeleted val="1"/>
    <c:pivotFmts>
      <c:pivotFmt>
        <c:idx val="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square"/>
          <c:size val="7"/>
          <c:spPr>
            <a:solidFill>
              <a:schemeClr val="accent6">
                <a:lumMod val="75000"/>
              </a:schemeClr>
            </a:solidFill>
            <a:ln w="22225">
              <a:solidFill>
                <a:schemeClr val="lt1"/>
              </a:solidFill>
              <a:round/>
            </a:ln>
            <a:effectLst/>
          </c:spPr>
        </c:marker>
        <c:dLbl>
          <c:idx val="0"/>
          <c:spPr>
            <a:solidFill>
              <a:schemeClr val="accent6">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square"/>
          <c:size val="7"/>
          <c:spPr>
            <a:solidFill>
              <a:schemeClr val="accent6">
                <a:lumMod val="75000"/>
              </a:schemeClr>
            </a:solidFill>
            <a:ln w="22225">
              <a:solidFill>
                <a:schemeClr val="lt1"/>
              </a:solidFill>
              <a:round/>
            </a:ln>
            <a:effectLst/>
          </c:spPr>
        </c:marker>
      </c:pivotFmt>
      <c:pivotFmt>
        <c:idx val="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square"/>
          <c:size val="7"/>
          <c:spPr>
            <a:solidFill>
              <a:schemeClr val="accent6">
                <a:lumMod val="75000"/>
              </a:schemeClr>
            </a:solidFill>
            <a:ln w="22225">
              <a:solidFill>
                <a:schemeClr val="lt1"/>
              </a:solidFill>
              <a:round/>
            </a:ln>
            <a:effectLst/>
          </c:spPr>
        </c:marker>
        <c:dLbl>
          <c:idx val="0"/>
          <c:spPr>
            <a:solidFill>
              <a:schemeClr val="accent6">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6"/>
            </a:outerShdw>
          </a:effectLst>
        </c:spPr>
        <c:marker>
          <c:symbol val="square"/>
          <c:size val="7"/>
          <c:spPr>
            <a:solidFill>
              <a:schemeClr val="accent6">
                <a:lumMod val="75000"/>
              </a:schemeClr>
            </a:solidFill>
            <a:ln w="22225">
              <a:solidFill>
                <a:schemeClr val="lt1"/>
              </a:solidFill>
              <a:round/>
            </a:ln>
            <a:effectLst/>
          </c:spPr>
        </c:marker>
        <c:dLbl>
          <c:idx val="0"/>
          <c:spPr>
            <a:solidFill>
              <a:schemeClr val="accent6">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048480323572378E-2"/>
          <c:y val="3.7116441449441567E-2"/>
          <c:w val="0.9253958880139983"/>
          <c:h val="0.84204505686789155"/>
        </c:manualLayout>
      </c:layout>
      <c:lineChart>
        <c:grouping val="standard"/>
        <c:varyColors val="0"/>
        <c:ser>
          <c:idx val="0"/>
          <c:order val="0"/>
          <c:tx>
            <c:strRef>
              <c:f>Sheet1!$N$3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square"/>
            <c:size val="7"/>
            <c:spPr>
              <a:solidFill>
                <a:schemeClr val="accent6">
                  <a:lumMod val="75000"/>
                </a:schemeClr>
              </a:solidFill>
              <a:ln w="22225">
                <a:solidFill>
                  <a:schemeClr val="lt1"/>
                </a:solidFill>
                <a:round/>
              </a:ln>
              <a:effectLst/>
            </c:spPr>
          </c:marker>
          <c:dLbls>
            <c:spPr>
              <a:solidFill>
                <a:schemeClr val="accent6">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Sheet1!$M$4:$M$16</c:f>
              <c:strCache>
                <c:ptCount val="12"/>
                <c:pt idx="0">
                  <c:v>Action Figure</c:v>
                </c:pt>
                <c:pt idx="1">
                  <c:v>Blender</c:v>
                </c:pt>
                <c:pt idx="2">
                  <c:v>Moisturizer</c:v>
                </c:pt>
                <c:pt idx="3">
                  <c:v>Novel</c:v>
                </c:pt>
                <c:pt idx="4">
                  <c:v>Smartphone</c:v>
                </c:pt>
                <c:pt idx="5">
                  <c:v>Sneakers</c:v>
                </c:pt>
                <c:pt idx="6">
                  <c:v>Tent</c:v>
                </c:pt>
                <c:pt idx="7">
                  <c:v>Formula1</c:v>
                </c:pt>
                <c:pt idx="8">
                  <c:v>Formula2</c:v>
                </c:pt>
                <c:pt idx="9">
                  <c:v>Formula3</c:v>
                </c:pt>
                <c:pt idx="10">
                  <c:v>Formula4</c:v>
                </c:pt>
                <c:pt idx="11">
                  <c:v>Formula5</c:v>
                </c:pt>
              </c:strCache>
            </c:strRef>
          </c:cat>
          <c:val>
            <c:numRef>
              <c:f>Sheet1!$N$4:$N$16</c:f>
              <c:numCache>
                <c:formatCode>General</c:formatCode>
                <c:ptCount val="12"/>
                <c:pt idx="0">
                  <c:v>59</c:v>
                </c:pt>
                <c:pt idx="1">
                  <c:v>219</c:v>
                </c:pt>
                <c:pt idx="2">
                  <c:v>158</c:v>
                </c:pt>
                <c:pt idx="3">
                  <c:v>228</c:v>
                </c:pt>
                <c:pt idx="4">
                  <c:v>108</c:v>
                </c:pt>
                <c:pt idx="5">
                  <c:v>177</c:v>
                </c:pt>
                <c:pt idx="6">
                  <c:v>155</c:v>
                </c:pt>
              </c:numCache>
            </c:numRef>
          </c:val>
          <c:smooth val="0"/>
          <c:extLst>
            <c:ext xmlns:c16="http://schemas.microsoft.com/office/drawing/2014/chart" uri="{C3380CC4-5D6E-409C-BE32-E72D297353CC}">
              <c16:uniqueId val="{00000000-B6A3-4EC9-A4B7-1622DAE57F96}"/>
            </c:ext>
          </c:extLst>
        </c:ser>
        <c:dLbls>
          <c:dLblPos val="t"/>
          <c:showLegendKey val="0"/>
          <c:showVal val="1"/>
          <c:showCatName val="0"/>
          <c:showSerName val="0"/>
          <c:showPercent val="0"/>
          <c:showBubbleSize val="0"/>
        </c:dLbls>
        <c:dropLines>
          <c:spPr>
            <a:ln w="31750" cap="flat" cmpd="sng" algn="ctr">
              <a:solidFill>
                <a:schemeClr val="accent6">
                  <a:lumMod val="75000"/>
                </a:schemeClr>
              </a:solidFill>
              <a:round/>
            </a:ln>
            <a:effectLst/>
          </c:spPr>
        </c:dropLines>
        <c:marker val="1"/>
        <c:smooth val="0"/>
        <c:axId val="454247040"/>
        <c:axId val="454248000"/>
      </c:lineChart>
      <c:catAx>
        <c:axId val="454247040"/>
        <c:scaling>
          <c:orientation val="minMax"/>
        </c:scaling>
        <c:delete val="0"/>
        <c:axPos val="b"/>
        <c:numFmt formatCode="General" sourceLinked="1"/>
        <c:majorTickMark val="none"/>
        <c:minorTickMark val="none"/>
        <c:tickLblPos val="nextTo"/>
        <c:spPr>
          <a:solidFill>
            <a:schemeClr val="tx1"/>
          </a:solid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54248000"/>
        <c:crosses val="autoZero"/>
        <c:auto val="1"/>
        <c:lblAlgn val="ctr"/>
        <c:lblOffset val="100"/>
        <c:noMultiLvlLbl val="0"/>
      </c:catAx>
      <c:valAx>
        <c:axId val="454248000"/>
        <c:scaling>
          <c:orientation val="minMax"/>
        </c:scaling>
        <c:delete val="1"/>
        <c:axPos val="l"/>
        <c:numFmt formatCode="General" sourceLinked="1"/>
        <c:majorTickMark val="none"/>
        <c:minorTickMark val="none"/>
        <c:tickLblPos val="nextTo"/>
        <c:crossAx val="454247040"/>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file.xlsx]Sheet1!PivotTable1</c:name>
    <c:fmtId val="7"/>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9444444444444445"/>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0.1638888888888887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0.18055577427821523"/>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dLbl>
          <c:idx val="0"/>
          <c:layout>
            <c:manualLayout>
              <c:x val="-0.13055555555555559"/>
              <c:y val="7.870370370370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638888888888887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9444444444444445"/>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0.13055555555555559"/>
              <c:y val="7.870370370370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0.18055577427821523"/>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0.27620406094347605"/>
              <c:y val="1.29629265091863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dLbl>
          <c:idx val="0"/>
          <c:layout>
            <c:manualLayout>
              <c:x val="0.19444444444444445"/>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dLbl>
          <c:idx val="0"/>
          <c:layout>
            <c:manualLayout>
              <c:x val="-0.13055555555555559"/>
              <c:y val="7.870370370370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dLbl>
          <c:idx val="0"/>
          <c:layout>
            <c:manualLayout>
              <c:x val="-0.21306804032922846"/>
              <c:y val="4.12037401574801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6489-42D7-B6FF-B829B849A42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489-42D7-B6FF-B829B849A42F}"/>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6489-42D7-B6FF-B829B849A42F}"/>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6489-42D7-B6FF-B829B849A42F}"/>
              </c:ext>
            </c:extLst>
          </c:dPt>
          <c:dLbls>
            <c:dLbl>
              <c:idx val="0"/>
              <c:layout>
                <c:manualLayout>
                  <c:x val="-0.21306804032922846"/>
                  <c:y val="4.12037401574801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89-42D7-B6FF-B829B849A4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Sheet1!$A$4:$A$5</c:f>
              <c:strCache>
                <c:ptCount val="1"/>
                <c:pt idx="0">
                  <c:v>West</c:v>
                </c:pt>
              </c:strCache>
            </c:strRef>
          </c:cat>
          <c:val>
            <c:numRef>
              <c:f>Sheet1!$B$4:$B$5</c:f>
              <c:numCache>
                <c:formatCode>_ "Rs."\ * ##\.##,"Lakhs"\ </c:formatCode>
                <c:ptCount val="1"/>
                <c:pt idx="0">
                  <c:v>3878100</c:v>
                </c:pt>
              </c:numCache>
            </c:numRef>
          </c:val>
          <c:extLst>
            <c:ext xmlns:c16="http://schemas.microsoft.com/office/drawing/2014/chart" uri="{C3380CC4-5D6E-409C-BE32-E72D297353CC}">
              <c16:uniqueId val="{00000008-6489-42D7-B6FF-B829B849A42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file.xlsx]Sheet1!PivotTable3</c:name>
    <c:fmtId val="12"/>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dLbl>
          <c:idx val="0"/>
          <c:layout>
            <c:manualLayout>
              <c:x val="-3.7788286275007495E-4"/>
              <c:y val="1.388891626343953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44008409250175"/>
                  <c:h val="5.8343927284433619E-2"/>
                </c:manualLayout>
              </c15:layout>
            </c:ext>
          </c:extLst>
        </c:dLbl>
      </c:pivotFmt>
      <c:pivotFmt>
        <c:idx val="2"/>
        <c:spPr>
          <a:solidFill>
            <a:schemeClr val="accent6"/>
          </a:solidFill>
          <a:ln>
            <a:noFill/>
          </a:ln>
          <a:effectLst/>
        </c:spPr>
        <c:dLbl>
          <c:idx val="0"/>
          <c:layout>
            <c:manualLayout>
              <c:x val="-1.0092552462179351E-16"/>
              <c:y val="4.62962962962961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3.7788286275007495E-4"/>
              <c:y val="1.388891626343953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44008409250175"/>
                  <c:h val="5.8343927284433619E-2"/>
                </c:manualLayout>
              </c15:layout>
            </c:ext>
          </c:extLst>
        </c:dLbl>
      </c:pivotFmt>
      <c:pivotFmt>
        <c:idx val="5"/>
        <c:spPr>
          <a:solidFill>
            <a:schemeClr val="accent6"/>
          </a:solidFill>
          <a:ln>
            <a:noFill/>
          </a:ln>
          <a:effectLst/>
        </c:spPr>
        <c:dLbl>
          <c:idx val="0"/>
          <c:layout>
            <c:manualLayout>
              <c:x val="-1.0092552462179351E-16"/>
              <c:y val="4.62962962962961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3.7788286275007495E-4"/>
              <c:y val="1.388891626343953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44008409250175"/>
                  <c:h val="5.8343927284433619E-2"/>
                </c:manualLayout>
              </c15:layout>
            </c:ext>
          </c:extLst>
        </c:dLbl>
      </c:pivotFmt>
      <c:pivotFmt>
        <c:idx val="8"/>
        <c:spPr>
          <a:solidFill>
            <a:schemeClr val="accent6"/>
          </a:solidFill>
          <a:ln>
            <a:noFill/>
          </a:ln>
          <a:effectLst/>
        </c:spPr>
        <c:dLbl>
          <c:idx val="0"/>
          <c:layout>
            <c:manualLayout>
              <c:x val="-1.0092552462179351E-16"/>
              <c:y val="4.62962962962961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83258342707162"/>
          <c:y val="5.4234438772591383E-2"/>
          <c:w val="0.76985655349493365"/>
          <c:h val="0.89987484355444303"/>
        </c:manualLayout>
      </c:layout>
      <c:barChart>
        <c:barDir val="bar"/>
        <c:grouping val="clustered"/>
        <c:varyColors val="0"/>
        <c:ser>
          <c:idx val="0"/>
          <c:order val="0"/>
          <c:tx>
            <c:strRef>
              <c:f>Sheet1!$F$3</c:f>
              <c:strCache>
                <c:ptCount val="1"/>
                <c:pt idx="0">
                  <c:v>Total</c:v>
                </c:pt>
              </c:strCache>
            </c:strRef>
          </c:tx>
          <c:spPr>
            <a:solidFill>
              <a:schemeClr val="accent6"/>
            </a:solidFill>
            <a:ln>
              <a:noFill/>
            </a:ln>
            <a:effectLst/>
          </c:spPr>
          <c:invertIfNegative val="0"/>
          <c:dPt>
            <c:idx val="4"/>
            <c:invertIfNegative val="0"/>
            <c:bubble3D val="0"/>
            <c:extLst>
              <c:ext xmlns:c16="http://schemas.microsoft.com/office/drawing/2014/chart" uri="{C3380CC4-5D6E-409C-BE32-E72D297353CC}">
                <c16:uniqueId val="{00000001-45A9-451B-9246-FFA84B9CE5F7}"/>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1-6C61-47FC-8232-3F9B1948A206}"/>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3-6C61-47FC-8232-3F9B1948A206}"/>
              </c:ext>
            </c:extLst>
          </c:dPt>
          <c:dLbls>
            <c:dLbl>
              <c:idx val="5"/>
              <c:layout>
                <c:manualLayout>
                  <c:x val="-3.7788286275007495E-4"/>
                  <c:y val="1.388891626343953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44008409250175"/>
                      <c:h val="5.8343927284433619E-2"/>
                    </c:manualLayout>
                  </c15:layout>
                </c:ext>
                <c:ext xmlns:c16="http://schemas.microsoft.com/office/drawing/2014/chart" uri="{C3380CC4-5D6E-409C-BE32-E72D297353CC}">
                  <c16:uniqueId val="{00000001-6C61-47FC-8232-3F9B1948A206}"/>
                </c:ext>
              </c:extLst>
            </c:dLbl>
            <c:dLbl>
              <c:idx val="6"/>
              <c:layout>
                <c:manualLayout>
                  <c:x val="-1.0092552462179351E-16"/>
                  <c:y val="4.6296296296296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61-47FC-8232-3F9B1948A20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Sheet1!$E$4:$E$16</c:f>
              <c:strCache>
                <c:ptCount val="12"/>
                <c:pt idx="0">
                  <c:v>Action Figure</c:v>
                </c:pt>
                <c:pt idx="1">
                  <c:v>Blender</c:v>
                </c:pt>
                <c:pt idx="2">
                  <c:v>Moisturizer</c:v>
                </c:pt>
                <c:pt idx="3">
                  <c:v>Novel</c:v>
                </c:pt>
                <c:pt idx="4">
                  <c:v>Smartphone</c:v>
                </c:pt>
                <c:pt idx="5">
                  <c:v>Sneakers</c:v>
                </c:pt>
                <c:pt idx="6">
                  <c:v>Tent</c:v>
                </c:pt>
                <c:pt idx="7">
                  <c:v>formula</c:v>
                </c:pt>
                <c:pt idx="8">
                  <c:v>Formula4</c:v>
                </c:pt>
                <c:pt idx="9">
                  <c:v>Formula5</c:v>
                </c:pt>
                <c:pt idx="10">
                  <c:v>Formula2</c:v>
                </c:pt>
                <c:pt idx="11">
                  <c:v>Formula3</c:v>
                </c:pt>
              </c:strCache>
            </c:strRef>
          </c:cat>
          <c:val>
            <c:numRef>
              <c:f>Sheet1!$F$4:$F$16</c:f>
              <c:numCache>
                <c:formatCode>_ "Rs."\ * ##\.##,"Lakhs"</c:formatCode>
                <c:ptCount val="12"/>
                <c:pt idx="0">
                  <c:v>70800</c:v>
                </c:pt>
                <c:pt idx="1">
                  <c:v>766500</c:v>
                </c:pt>
                <c:pt idx="2">
                  <c:v>94800</c:v>
                </c:pt>
                <c:pt idx="3">
                  <c:v>228000</c:v>
                </c:pt>
                <c:pt idx="4">
                  <c:v>1080000</c:v>
                </c:pt>
                <c:pt idx="5">
                  <c:v>708000</c:v>
                </c:pt>
                <c:pt idx="6">
                  <c:v>930000</c:v>
                </c:pt>
              </c:numCache>
            </c:numRef>
          </c:val>
          <c:extLst>
            <c:ext xmlns:c16="http://schemas.microsoft.com/office/drawing/2014/chart" uri="{C3380CC4-5D6E-409C-BE32-E72D297353CC}">
              <c16:uniqueId val="{00000004-6C61-47FC-8232-3F9B1948A206}"/>
            </c:ext>
          </c:extLst>
        </c:ser>
        <c:dLbls>
          <c:dLblPos val="outEnd"/>
          <c:showLegendKey val="0"/>
          <c:showVal val="1"/>
          <c:showCatName val="0"/>
          <c:showSerName val="0"/>
          <c:showPercent val="0"/>
          <c:showBubbleSize val="0"/>
        </c:dLbls>
        <c:gapWidth val="70"/>
        <c:axId val="466498432"/>
        <c:axId val="466499392"/>
      </c:barChart>
      <c:catAx>
        <c:axId val="46649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499392"/>
        <c:crosses val="autoZero"/>
        <c:auto val="1"/>
        <c:lblAlgn val="ctr"/>
        <c:lblOffset val="100"/>
        <c:noMultiLvlLbl val="0"/>
      </c:catAx>
      <c:valAx>
        <c:axId val="466499392"/>
        <c:scaling>
          <c:orientation val="minMax"/>
        </c:scaling>
        <c:delete val="1"/>
        <c:axPos val="b"/>
        <c:numFmt formatCode="_ &quot;Rs.&quot;\ * ##\.##,&quot;Lakhs&quot;" sourceLinked="1"/>
        <c:majorTickMark val="none"/>
        <c:minorTickMark val="none"/>
        <c:tickLblPos val="nextTo"/>
        <c:crossAx val="46649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file.xlsx]Sheet1!PivotTable4</c:name>
    <c:fmtId val="8"/>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dLbl>
          <c:idx val="0"/>
          <c:layout>
            <c:manualLayout>
              <c:x val="1.3888888888888788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dLbl>
          <c:idx val="0"/>
          <c:layout>
            <c:manualLayout>
              <c:x val="1.1111174280110249E-2"/>
              <c:y val="-4.82019726347766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994444444444442"/>
                  <c:h val="7.4004811898512685E-2"/>
                </c:manualLayout>
              </c15:layout>
            </c:ext>
          </c:extLst>
        </c:dLbl>
      </c:pivotFmt>
      <c:pivotFmt>
        <c:idx val="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3089343073993"/>
                  <c:h val="7.8634344435759077E-2"/>
                </c:manualLayout>
              </c15:layout>
            </c:ext>
          </c:extLst>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457280385078216"/>
                  <c:h val="7.2578851372392006E-2"/>
                </c:manualLayout>
              </c15:layout>
            </c:ext>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457280385078216"/>
                  <c:h val="7.2578851372392006E-2"/>
                </c:manualLayout>
              </c15:layout>
            </c:ext>
          </c:extLst>
        </c:dLbl>
      </c:pivotFmt>
      <c:pivotFmt>
        <c:idx val="7"/>
        <c:spPr>
          <a:solidFill>
            <a:schemeClr val="accent6"/>
          </a:solidFill>
          <a:ln>
            <a:noFill/>
          </a:ln>
          <a:effectLst/>
        </c:spPr>
        <c:dLbl>
          <c:idx val="0"/>
          <c:layout>
            <c:manualLayout>
              <c:x val="1.1111174280110249E-2"/>
              <c:y val="-4.82019726347766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994444444444442"/>
                  <c:h val="7.4004811898512685E-2"/>
                </c:manualLayout>
              </c15:layout>
            </c:ext>
          </c:extLst>
        </c:dLbl>
      </c:pivotFmt>
      <c:pivotFmt>
        <c:idx val="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3089343073993"/>
                  <c:h val="7.8634344435759077E-2"/>
                </c:manualLayout>
              </c15:layout>
            </c:ext>
          </c:extLst>
        </c:dLbl>
      </c:pivotFmt>
      <c:pivotFmt>
        <c:idx val="9"/>
        <c:spPr>
          <a:solidFill>
            <a:schemeClr val="accent6"/>
          </a:solidFill>
          <a:ln>
            <a:noFill/>
          </a:ln>
          <a:effectLst/>
        </c:spPr>
        <c:dLbl>
          <c:idx val="0"/>
          <c:layout>
            <c:manualLayout>
              <c:x val="1.3888888888888788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457280385078216"/>
                  <c:h val="7.2578851372392006E-2"/>
                </c:manualLayout>
              </c15:layout>
            </c:ext>
          </c:extLst>
        </c:dLbl>
      </c:pivotFmt>
      <c:pivotFmt>
        <c:idx val="12"/>
        <c:spPr>
          <a:solidFill>
            <a:schemeClr val="accent6"/>
          </a:solidFill>
          <a:ln>
            <a:noFill/>
          </a:ln>
          <a:effectLst/>
        </c:spPr>
        <c:dLbl>
          <c:idx val="0"/>
          <c:layout>
            <c:manualLayout>
              <c:x val="1.1111174280110249E-2"/>
              <c:y val="-4.82019726347766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994444444444442"/>
                  <c:h val="7.4004811898512685E-2"/>
                </c:manualLayout>
              </c15:layout>
            </c:ext>
          </c:extLst>
        </c:dLbl>
      </c:pivotFmt>
      <c:pivotFmt>
        <c:idx val="1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3089343073993"/>
                  <c:h val="7.8634344435759077E-2"/>
                </c:manualLayout>
              </c15:layout>
            </c:ext>
          </c:extLst>
        </c:dLbl>
      </c:pivotFmt>
      <c:pivotFmt>
        <c:idx val="14"/>
        <c:spPr>
          <a:solidFill>
            <a:schemeClr val="accent6"/>
          </a:solidFill>
          <a:ln>
            <a:noFill/>
          </a:ln>
          <a:effectLst/>
        </c:spPr>
        <c:dLbl>
          <c:idx val="0"/>
          <c:layout>
            <c:manualLayout>
              <c:x val="1.3888888888888788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318894016966657E-2"/>
          <c:y val="4.0864263075759771E-2"/>
          <c:w val="0.94536221196606673"/>
          <c:h val="0.84508690359358829"/>
        </c:manualLayout>
      </c:layout>
      <c:barChart>
        <c:barDir val="col"/>
        <c:grouping val="clustered"/>
        <c:varyColors val="0"/>
        <c:ser>
          <c:idx val="0"/>
          <c:order val="0"/>
          <c:tx>
            <c:strRef>
              <c:f>Sheet1!$J$3</c:f>
              <c:strCache>
                <c:ptCount val="1"/>
                <c:pt idx="0">
                  <c:v>Total</c:v>
                </c:pt>
              </c:strCache>
            </c:strRef>
          </c:tx>
          <c:spPr>
            <a:solidFill>
              <a:schemeClr val="accent6"/>
            </a:solidFill>
            <a:ln>
              <a:noFill/>
            </a:ln>
            <a:effectLst/>
          </c:spPr>
          <c:invertIfNegative val="0"/>
          <c:dPt>
            <c:idx val="2"/>
            <c:invertIfNegative val="0"/>
            <c:bubble3D val="0"/>
            <c:extLst>
              <c:ext xmlns:c16="http://schemas.microsoft.com/office/drawing/2014/chart" uri="{C3380CC4-5D6E-409C-BE32-E72D297353CC}">
                <c16:uniqueId val="{00000001-949B-435B-BEC9-CE8049E0D84A}"/>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1-6D91-4182-92FC-FB507341B885}"/>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3-6D91-4182-92FC-FB507341B885}"/>
              </c:ext>
            </c:extLst>
          </c:dPt>
          <c:dPt>
            <c:idx val="5"/>
            <c:invertIfNegative val="0"/>
            <c:bubble3D val="0"/>
            <c:extLst>
              <c:ext xmlns:c16="http://schemas.microsoft.com/office/drawing/2014/chart" uri="{C3380CC4-5D6E-409C-BE32-E72D297353CC}">
                <c16:uniqueId val="{00000005-6D91-4182-92FC-FB507341B885}"/>
              </c:ext>
            </c:extLst>
          </c:dPt>
          <c:dPt>
            <c:idx val="6"/>
            <c:invertIfNegative val="0"/>
            <c:bubble3D val="0"/>
            <c:extLst>
              <c:ext xmlns:c16="http://schemas.microsoft.com/office/drawing/2014/chart" uri="{C3380CC4-5D6E-409C-BE32-E72D297353CC}">
                <c16:uniqueId val="{00000007-6D91-4182-92FC-FB507341B885}"/>
              </c:ext>
            </c:extLst>
          </c:dPt>
          <c:dLbls>
            <c:dLbl>
              <c:idx val="3"/>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457280385078216"/>
                      <c:h val="7.2578851372392006E-2"/>
                    </c:manualLayout>
                  </c15:layout>
                </c:ext>
                <c:ext xmlns:c16="http://schemas.microsoft.com/office/drawing/2014/chart" uri="{C3380CC4-5D6E-409C-BE32-E72D297353CC}">
                  <c16:uniqueId val="{00000001-6D91-4182-92FC-FB507341B885}"/>
                </c:ext>
              </c:extLst>
            </c:dLbl>
            <c:dLbl>
              <c:idx val="4"/>
              <c:layout>
                <c:manualLayout>
                  <c:x val="1.1111174280110249E-2"/>
                  <c:y val="-4.82019726347766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994444444444442"/>
                      <c:h val="7.4004811898512685E-2"/>
                    </c:manualLayout>
                  </c15:layout>
                </c:ext>
                <c:ext xmlns:c16="http://schemas.microsoft.com/office/drawing/2014/chart" uri="{C3380CC4-5D6E-409C-BE32-E72D297353CC}">
                  <c16:uniqueId val="{00000003-6D91-4182-92FC-FB507341B88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Sheet1!$I$4:$I$11</c:f>
              <c:strCache>
                <c:ptCount val="7"/>
                <c:pt idx="0">
                  <c:v>Andrew</c:v>
                </c:pt>
                <c:pt idx="1">
                  <c:v>Anna</c:v>
                </c:pt>
                <c:pt idx="2">
                  <c:v>Cameron</c:v>
                </c:pt>
                <c:pt idx="3">
                  <c:v>Carolyn</c:v>
                </c:pt>
                <c:pt idx="4">
                  <c:v>Connor</c:v>
                </c:pt>
                <c:pt idx="5">
                  <c:v>Megan</c:v>
                </c:pt>
                <c:pt idx="6">
                  <c:v>Virginia</c:v>
                </c:pt>
              </c:strCache>
            </c:strRef>
          </c:cat>
          <c:val>
            <c:numRef>
              <c:f>Sheet1!$J$4:$J$11</c:f>
              <c:numCache>
                <c:formatCode>_ "Rs."\ * ##\.##,"Lakhs"</c:formatCode>
                <c:ptCount val="7"/>
                <c:pt idx="0">
                  <c:v>504000</c:v>
                </c:pt>
                <c:pt idx="1">
                  <c:v>60600</c:v>
                </c:pt>
                <c:pt idx="2">
                  <c:v>386000</c:v>
                </c:pt>
                <c:pt idx="3">
                  <c:v>1188000</c:v>
                </c:pt>
                <c:pt idx="4">
                  <c:v>460200</c:v>
                </c:pt>
                <c:pt idx="5">
                  <c:v>778800</c:v>
                </c:pt>
                <c:pt idx="6">
                  <c:v>500500</c:v>
                </c:pt>
              </c:numCache>
            </c:numRef>
          </c:val>
          <c:extLst>
            <c:ext xmlns:c16="http://schemas.microsoft.com/office/drawing/2014/chart" uri="{C3380CC4-5D6E-409C-BE32-E72D297353CC}">
              <c16:uniqueId val="{00000008-6D91-4182-92FC-FB507341B885}"/>
            </c:ext>
          </c:extLst>
        </c:ser>
        <c:dLbls>
          <c:dLblPos val="outEnd"/>
          <c:showLegendKey val="0"/>
          <c:showVal val="1"/>
          <c:showCatName val="0"/>
          <c:showSerName val="0"/>
          <c:showPercent val="0"/>
          <c:showBubbleSize val="0"/>
        </c:dLbls>
        <c:gapWidth val="72"/>
        <c:overlap val="-27"/>
        <c:axId val="671626208"/>
        <c:axId val="671627168"/>
      </c:barChart>
      <c:catAx>
        <c:axId val="67162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627168"/>
        <c:crosses val="autoZero"/>
        <c:auto val="1"/>
        <c:lblAlgn val="ctr"/>
        <c:lblOffset val="100"/>
        <c:noMultiLvlLbl val="0"/>
      </c:catAx>
      <c:valAx>
        <c:axId val="671627168"/>
        <c:scaling>
          <c:orientation val="minMax"/>
        </c:scaling>
        <c:delete val="1"/>
        <c:axPos val="l"/>
        <c:numFmt formatCode="_ &quot;Rs.&quot;\ * ##\.##,&quot;Lakhs&quot;" sourceLinked="1"/>
        <c:majorTickMark val="none"/>
        <c:minorTickMark val="none"/>
        <c:tickLblPos val="nextTo"/>
        <c:crossAx val="67162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9444444444444445"/>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0.1638888888888887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0.18055577427821523"/>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dLbl>
          <c:idx val="0"/>
          <c:layout>
            <c:manualLayout>
              <c:x val="-0.13055555555555559"/>
              <c:y val="7.870370370370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3-E9E3-4DF6-8ACC-A015F4EE66A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2-E9E3-4DF6-8ACC-A015F4EE66AC}"/>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E9E3-4DF6-8ACC-A015F4EE66AC}"/>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4-E9E3-4DF6-8ACC-A015F4EE66AC}"/>
              </c:ext>
            </c:extLst>
          </c:dPt>
          <c:dLbls>
            <c:dLbl>
              <c:idx val="0"/>
              <c:layout>
                <c:manualLayout>
                  <c:x val="-0.18055577427821523"/>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9E3-4DF6-8ACC-A015F4EE66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Sheet1!$A$4:$A$5</c:f>
              <c:strCache>
                <c:ptCount val="1"/>
                <c:pt idx="0">
                  <c:v>West</c:v>
                </c:pt>
              </c:strCache>
            </c:strRef>
          </c:cat>
          <c:val>
            <c:numRef>
              <c:f>Sheet1!$B$4:$B$5</c:f>
              <c:numCache>
                <c:formatCode>_ "Rs."\ * ##\.##,"Lakhs"\ </c:formatCode>
                <c:ptCount val="1"/>
                <c:pt idx="0">
                  <c:v>3878100</c:v>
                </c:pt>
              </c:numCache>
            </c:numRef>
          </c:val>
          <c:extLst>
            <c:ext xmlns:c16="http://schemas.microsoft.com/office/drawing/2014/chart" uri="{C3380CC4-5D6E-409C-BE32-E72D297353CC}">
              <c16:uniqueId val="{00000000-E9E3-4DF6-8ACC-A015F4EE66A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file.xlsx]Sheet1!PivotTable3</c:name>
    <c:fmtId val="5"/>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dLbl>
          <c:idx val="0"/>
          <c:layout>
            <c:manualLayout>
              <c:x val="-3.7788286275007495E-4"/>
              <c:y val="1.388891626343953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44008409250175"/>
                  <c:h val="5.8343927284433619E-2"/>
                </c:manualLayout>
              </c15:layout>
            </c:ext>
          </c:extLst>
        </c:dLbl>
      </c:pivotFmt>
      <c:pivotFmt>
        <c:idx val="2"/>
        <c:spPr>
          <a:solidFill>
            <a:schemeClr val="accent6"/>
          </a:solidFill>
          <a:ln>
            <a:noFill/>
          </a:ln>
          <a:effectLst/>
        </c:spPr>
        <c:dLbl>
          <c:idx val="0"/>
          <c:layout>
            <c:manualLayout>
              <c:x val="-1.0092552462179351E-16"/>
              <c:y val="4.62962962962961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3.7788286275007495E-4"/>
              <c:y val="1.388891626343953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44008409250175"/>
                  <c:h val="5.8343927284433619E-2"/>
                </c:manualLayout>
              </c15:layout>
            </c:ext>
          </c:extLst>
        </c:dLbl>
      </c:pivotFmt>
      <c:pivotFmt>
        <c:idx val="4"/>
        <c:spPr>
          <a:solidFill>
            <a:schemeClr val="accent6"/>
          </a:solidFill>
          <a:ln>
            <a:noFill/>
          </a:ln>
          <a:effectLst/>
        </c:spPr>
        <c:dLbl>
          <c:idx val="0"/>
          <c:layout>
            <c:manualLayout>
              <c:x val="-1.0092552462179351E-16"/>
              <c:y val="4.62962962962961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83251604225631"/>
          <c:y val="5.4234459741343347E-2"/>
          <c:w val="0.76985655349493365"/>
          <c:h val="0.89987484355444303"/>
        </c:manualLayout>
      </c:layout>
      <c:barChart>
        <c:barDir val="bar"/>
        <c:grouping val="clustered"/>
        <c:varyColors val="0"/>
        <c:ser>
          <c:idx val="0"/>
          <c:order val="0"/>
          <c:tx>
            <c:strRef>
              <c:f>Sheet1!$F$3</c:f>
              <c:strCache>
                <c:ptCount val="1"/>
                <c:pt idx="0">
                  <c:v>Total</c:v>
                </c:pt>
              </c:strCache>
            </c:strRef>
          </c:tx>
          <c:spPr>
            <a:solidFill>
              <a:schemeClr val="accent6"/>
            </a:solidFill>
            <a:ln>
              <a:noFill/>
            </a:ln>
            <a:effectLst/>
          </c:spPr>
          <c:invertIfNegative val="0"/>
          <c:dPt>
            <c:idx val="4"/>
            <c:invertIfNegative val="0"/>
            <c:bubble3D val="0"/>
            <c:extLst>
              <c:ext xmlns:c16="http://schemas.microsoft.com/office/drawing/2014/chart" uri="{C3380CC4-5D6E-409C-BE32-E72D297353CC}">
                <c16:uniqueId val="{00000000-ED55-4E12-9280-9811E08011D6}"/>
              </c:ext>
            </c:extLst>
          </c:dPt>
          <c:dPt>
            <c:idx val="5"/>
            <c:invertIfNegative val="0"/>
            <c:bubble3D val="0"/>
            <c:extLst>
              <c:ext xmlns:c16="http://schemas.microsoft.com/office/drawing/2014/chart" uri="{C3380CC4-5D6E-409C-BE32-E72D297353CC}">
                <c16:uniqueId val="{00000002-233C-4CD5-9343-23E4C14224CA}"/>
              </c:ext>
            </c:extLst>
          </c:dPt>
          <c:dPt>
            <c:idx val="6"/>
            <c:invertIfNegative val="0"/>
            <c:bubble3D val="0"/>
            <c:extLst>
              <c:ext xmlns:c16="http://schemas.microsoft.com/office/drawing/2014/chart" uri="{C3380CC4-5D6E-409C-BE32-E72D297353CC}">
                <c16:uniqueId val="{00000003-233C-4CD5-9343-23E4C14224CA}"/>
              </c:ext>
            </c:extLst>
          </c:dPt>
          <c:dPt>
            <c:idx val="7"/>
            <c:invertIfNegative val="0"/>
            <c:bubble3D val="0"/>
            <c:extLst>
              <c:ext xmlns:c16="http://schemas.microsoft.com/office/drawing/2014/chart" uri="{C3380CC4-5D6E-409C-BE32-E72D297353CC}">
                <c16:uniqueId val="{00000004-ED55-4E12-9280-9811E08011D6}"/>
              </c:ext>
            </c:extLst>
          </c:dPt>
          <c:dPt>
            <c:idx val="8"/>
            <c:invertIfNegative val="0"/>
            <c:bubble3D val="0"/>
            <c:extLst>
              <c:ext xmlns:c16="http://schemas.microsoft.com/office/drawing/2014/chart" uri="{C3380CC4-5D6E-409C-BE32-E72D297353CC}">
                <c16:uniqueId val="{00000006-ED55-4E12-9280-9811E08011D6}"/>
              </c:ext>
            </c:extLst>
          </c:dPt>
          <c:dPt>
            <c:idx val="9"/>
            <c:invertIfNegative val="0"/>
            <c:bubble3D val="0"/>
            <c:spPr>
              <a:solidFill>
                <a:schemeClr val="accent6"/>
              </a:solidFill>
              <a:ln>
                <a:noFill/>
              </a:ln>
              <a:effectLst/>
            </c:spPr>
          </c:dPt>
          <c:dPt>
            <c:idx val="10"/>
            <c:invertIfNegative val="0"/>
            <c:bubble3D val="0"/>
            <c:spPr>
              <a:solidFill>
                <a:schemeClr val="accent6"/>
              </a:solidFill>
              <a:ln>
                <a:noFill/>
              </a:ln>
              <a:effectLst/>
            </c:spPr>
          </c:dPt>
          <c:dLbls>
            <c:dLbl>
              <c:idx val="5"/>
              <c:layout>
                <c:manualLayout>
                  <c:x val="-3.7788286275007495E-4"/>
                  <c:y val="1.388891626343953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44008409250175"/>
                      <c:h val="5.8343927284433619E-2"/>
                    </c:manualLayout>
                  </c15:layout>
                </c:ext>
                <c:ext xmlns:c16="http://schemas.microsoft.com/office/drawing/2014/chart" uri="{C3380CC4-5D6E-409C-BE32-E72D297353CC}">
                  <c16:uniqueId val="{00000002-233C-4CD5-9343-23E4C14224CA}"/>
                </c:ext>
              </c:extLst>
            </c:dLbl>
            <c:dLbl>
              <c:idx val="6"/>
              <c:layout>
                <c:manualLayout>
                  <c:x val="-1.0092552462179351E-16"/>
                  <c:y val="4.6296296296296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3C-4CD5-9343-23E4C14224CA}"/>
                </c:ext>
              </c:extLst>
            </c:dLbl>
            <c:dLbl>
              <c:idx val="9"/>
              <c:layout>
                <c:manualLayout>
                  <c:x val="-3.7788286275007495E-4"/>
                  <c:y val="1.388891626343953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44008409250175"/>
                      <c:h val="5.8343927284433619E-2"/>
                    </c:manualLayout>
                  </c15:layout>
                </c:ext>
              </c:extLst>
            </c:dLbl>
            <c:dLbl>
              <c:idx val="10"/>
              <c:layout>
                <c:manualLayout>
                  <c:x val="-1.0092552462179351E-16"/>
                  <c:y val="4.629629629629619E-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Sheet1!$E$4:$E$16</c:f>
              <c:strCache>
                <c:ptCount val="12"/>
                <c:pt idx="0">
                  <c:v>Action Figure</c:v>
                </c:pt>
                <c:pt idx="1">
                  <c:v>Blender</c:v>
                </c:pt>
                <c:pt idx="2">
                  <c:v>Moisturizer</c:v>
                </c:pt>
                <c:pt idx="3">
                  <c:v>Novel</c:v>
                </c:pt>
                <c:pt idx="4">
                  <c:v>Smartphone</c:v>
                </c:pt>
                <c:pt idx="5">
                  <c:v>Sneakers</c:v>
                </c:pt>
                <c:pt idx="6">
                  <c:v>Tent</c:v>
                </c:pt>
                <c:pt idx="7">
                  <c:v>formula</c:v>
                </c:pt>
                <c:pt idx="8">
                  <c:v>Formula4</c:v>
                </c:pt>
                <c:pt idx="9">
                  <c:v>Formula5</c:v>
                </c:pt>
                <c:pt idx="10">
                  <c:v>Formula2</c:v>
                </c:pt>
                <c:pt idx="11">
                  <c:v>Formula3</c:v>
                </c:pt>
              </c:strCache>
            </c:strRef>
          </c:cat>
          <c:val>
            <c:numRef>
              <c:f>Sheet1!$F$4:$F$16</c:f>
              <c:numCache>
                <c:formatCode>_ "Rs."\ * ##\.##,"Lakhs"</c:formatCode>
                <c:ptCount val="12"/>
                <c:pt idx="0">
                  <c:v>70800</c:v>
                </c:pt>
                <c:pt idx="1">
                  <c:v>766500</c:v>
                </c:pt>
                <c:pt idx="2">
                  <c:v>94800</c:v>
                </c:pt>
                <c:pt idx="3">
                  <c:v>228000</c:v>
                </c:pt>
                <c:pt idx="4">
                  <c:v>1080000</c:v>
                </c:pt>
                <c:pt idx="5">
                  <c:v>708000</c:v>
                </c:pt>
                <c:pt idx="6">
                  <c:v>930000</c:v>
                </c:pt>
              </c:numCache>
            </c:numRef>
          </c:val>
          <c:extLst>
            <c:ext xmlns:c16="http://schemas.microsoft.com/office/drawing/2014/chart" uri="{C3380CC4-5D6E-409C-BE32-E72D297353CC}">
              <c16:uniqueId val="{00000000-233C-4CD5-9343-23E4C14224CA}"/>
            </c:ext>
          </c:extLst>
        </c:ser>
        <c:dLbls>
          <c:dLblPos val="outEnd"/>
          <c:showLegendKey val="0"/>
          <c:showVal val="1"/>
          <c:showCatName val="0"/>
          <c:showSerName val="0"/>
          <c:showPercent val="0"/>
          <c:showBubbleSize val="0"/>
        </c:dLbls>
        <c:gapWidth val="70"/>
        <c:axId val="466498432"/>
        <c:axId val="466499392"/>
      </c:barChart>
      <c:catAx>
        <c:axId val="46649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499392"/>
        <c:crosses val="autoZero"/>
        <c:auto val="1"/>
        <c:lblAlgn val="ctr"/>
        <c:lblOffset val="100"/>
        <c:noMultiLvlLbl val="0"/>
      </c:catAx>
      <c:valAx>
        <c:axId val="466499392"/>
        <c:scaling>
          <c:orientation val="minMax"/>
        </c:scaling>
        <c:delete val="1"/>
        <c:axPos val="b"/>
        <c:numFmt formatCode="_ &quot;Rs.&quot;\ * ##\.##,&quot;Lakhs&quot;" sourceLinked="1"/>
        <c:majorTickMark val="none"/>
        <c:minorTickMark val="none"/>
        <c:tickLblPos val="nextTo"/>
        <c:crossAx val="46649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file.xlsx]Sheet1!PivotTable4</c:name>
    <c:fmtId val="1"/>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dLbl>
          <c:idx val="0"/>
          <c:layout>
            <c:manualLayout>
              <c:x val="1.3888888888888788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dLbl>
          <c:idx val="0"/>
          <c:layout>
            <c:manualLayout>
              <c:x val="1.1111174280110249E-2"/>
              <c:y val="-4.82019726347766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994444444444442"/>
                  <c:h val="7.4004811898512685E-2"/>
                </c:manualLayout>
              </c15:layout>
            </c:ext>
          </c:extLst>
        </c:dLbl>
      </c:pivotFmt>
      <c:pivotFmt>
        <c:idx val="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3089343073993"/>
                  <c:h val="7.8634344435759077E-2"/>
                </c:manualLayout>
              </c15:layout>
            </c:ext>
          </c:extLst>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457280385078216"/>
                  <c:h val="7.2578851372392006E-2"/>
                </c:manualLayout>
              </c15:layout>
            </c:ext>
          </c:extLst>
        </c:dLbl>
      </c:pivotFmt>
    </c:pivotFmts>
    <c:plotArea>
      <c:layout/>
      <c:barChart>
        <c:barDir val="col"/>
        <c:grouping val="clustered"/>
        <c:varyColors val="0"/>
        <c:ser>
          <c:idx val="0"/>
          <c:order val="0"/>
          <c:tx>
            <c:strRef>
              <c:f>Sheet1!$J$3</c:f>
              <c:strCache>
                <c:ptCount val="1"/>
                <c:pt idx="0">
                  <c:v>Total</c:v>
                </c:pt>
              </c:strCache>
            </c:strRef>
          </c:tx>
          <c:spPr>
            <a:solidFill>
              <a:schemeClr val="accent6"/>
            </a:solidFill>
            <a:ln>
              <a:noFill/>
            </a:ln>
            <a:effectLst/>
          </c:spPr>
          <c:invertIfNegative val="0"/>
          <c:dPt>
            <c:idx val="2"/>
            <c:invertIfNegative val="0"/>
            <c:bubble3D val="0"/>
            <c:extLst>
              <c:ext xmlns:c16="http://schemas.microsoft.com/office/drawing/2014/chart" uri="{C3380CC4-5D6E-409C-BE32-E72D297353CC}">
                <c16:uniqueId val="{00000001-64CE-49FE-A771-AA07E2C305CB}"/>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5-45D6-46F2-A14A-AED16AEB883C}"/>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3-45D6-46F2-A14A-AED16AEB883C}"/>
              </c:ext>
            </c:extLst>
          </c:dPt>
          <c:dPt>
            <c:idx val="5"/>
            <c:invertIfNegative val="0"/>
            <c:bubble3D val="0"/>
            <c:extLst>
              <c:ext xmlns:c16="http://schemas.microsoft.com/office/drawing/2014/chart" uri="{C3380CC4-5D6E-409C-BE32-E72D297353CC}">
                <c16:uniqueId val="{00000004-45D6-46F2-A14A-AED16AEB883C}"/>
              </c:ext>
            </c:extLst>
          </c:dPt>
          <c:dPt>
            <c:idx val="6"/>
            <c:invertIfNegative val="0"/>
            <c:bubble3D val="0"/>
            <c:extLst>
              <c:ext xmlns:c16="http://schemas.microsoft.com/office/drawing/2014/chart" uri="{C3380CC4-5D6E-409C-BE32-E72D297353CC}">
                <c16:uniqueId val="{00000002-45D6-46F2-A14A-AED16AEB883C}"/>
              </c:ext>
            </c:extLst>
          </c:dPt>
          <c:dLbls>
            <c:dLbl>
              <c:idx val="3"/>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457280385078216"/>
                      <c:h val="7.2578851372392006E-2"/>
                    </c:manualLayout>
                  </c15:layout>
                </c:ext>
                <c:ext xmlns:c16="http://schemas.microsoft.com/office/drawing/2014/chart" uri="{C3380CC4-5D6E-409C-BE32-E72D297353CC}">
                  <c16:uniqueId val="{00000005-45D6-46F2-A14A-AED16AEB883C}"/>
                </c:ext>
              </c:extLst>
            </c:dLbl>
            <c:dLbl>
              <c:idx val="4"/>
              <c:layout>
                <c:manualLayout>
                  <c:x val="1.1111174280110249E-2"/>
                  <c:y val="-4.82019726347766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994444444444442"/>
                      <c:h val="7.4004811898512685E-2"/>
                    </c:manualLayout>
                  </c15:layout>
                </c:ext>
                <c:ext xmlns:c16="http://schemas.microsoft.com/office/drawing/2014/chart" uri="{C3380CC4-5D6E-409C-BE32-E72D297353CC}">
                  <c16:uniqueId val="{00000003-45D6-46F2-A14A-AED16AEB883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Sheet1!$I$4:$I$11</c:f>
              <c:strCache>
                <c:ptCount val="7"/>
                <c:pt idx="0">
                  <c:v>Andrew</c:v>
                </c:pt>
                <c:pt idx="1">
                  <c:v>Anna</c:v>
                </c:pt>
                <c:pt idx="2">
                  <c:v>Cameron</c:v>
                </c:pt>
                <c:pt idx="3">
                  <c:v>Carolyn</c:v>
                </c:pt>
                <c:pt idx="4">
                  <c:v>Connor</c:v>
                </c:pt>
                <c:pt idx="5">
                  <c:v>Megan</c:v>
                </c:pt>
                <c:pt idx="6">
                  <c:v>Virginia</c:v>
                </c:pt>
              </c:strCache>
            </c:strRef>
          </c:cat>
          <c:val>
            <c:numRef>
              <c:f>Sheet1!$J$4:$J$11</c:f>
              <c:numCache>
                <c:formatCode>_ "Rs."\ * ##\.##,"Lakhs"</c:formatCode>
                <c:ptCount val="7"/>
                <c:pt idx="0">
                  <c:v>504000</c:v>
                </c:pt>
                <c:pt idx="1">
                  <c:v>60600</c:v>
                </c:pt>
                <c:pt idx="2">
                  <c:v>386000</c:v>
                </c:pt>
                <c:pt idx="3">
                  <c:v>1188000</c:v>
                </c:pt>
                <c:pt idx="4">
                  <c:v>460200</c:v>
                </c:pt>
                <c:pt idx="5">
                  <c:v>778800</c:v>
                </c:pt>
                <c:pt idx="6">
                  <c:v>500500</c:v>
                </c:pt>
              </c:numCache>
            </c:numRef>
          </c:val>
          <c:extLst>
            <c:ext xmlns:c16="http://schemas.microsoft.com/office/drawing/2014/chart" uri="{C3380CC4-5D6E-409C-BE32-E72D297353CC}">
              <c16:uniqueId val="{00000000-45D6-46F2-A14A-AED16AEB883C}"/>
            </c:ext>
          </c:extLst>
        </c:ser>
        <c:dLbls>
          <c:dLblPos val="outEnd"/>
          <c:showLegendKey val="0"/>
          <c:showVal val="1"/>
          <c:showCatName val="0"/>
          <c:showSerName val="0"/>
          <c:showPercent val="0"/>
          <c:showBubbleSize val="0"/>
        </c:dLbls>
        <c:gapWidth val="72"/>
        <c:overlap val="-27"/>
        <c:axId val="671626208"/>
        <c:axId val="671627168"/>
      </c:barChart>
      <c:catAx>
        <c:axId val="67162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627168"/>
        <c:crosses val="autoZero"/>
        <c:auto val="1"/>
        <c:lblAlgn val="ctr"/>
        <c:lblOffset val="100"/>
        <c:noMultiLvlLbl val="0"/>
      </c:catAx>
      <c:valAx>
        <c:axId val="671627168"/>
        <c:scaling>
          <c:orientation val="minMax"/>
        </c:scaling>
        <c:delete val="1"/>
        <c:axPos val="l"/>
        <c:numFmt formatCode="_ &quot;Rs.&quot;\ * ##\.##,&quot;Lakhs&quot;" sourceLinked="1"/>
        <c:majorTickMark val="none"/>
        <c:minorTickMark val="none"/>
        <c:tickLblPos val="nextTo"/>
        <c:crossAx val="67162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file.xlsx]Sheet1!PivotTable5</c:name>
    <c:fmtId val="1"/>
  </c:pivotSource>
  <c:chart>
    <c:autoTitleDeleted val="1"/>
    <c:pivotFmts>
      <c:pivotFmt>
        <c:idx val="0"/>
        <c:spPr>
          <a:ln w="34925" cap="rnd">
            <a:solidFill>
              <a:schemeClr val="lt1"/>
            </a:solidFill>
            <a:round/>
          </a:ln>
          <a:effectLst>
            <a:outerShdw dist="25400" dir="2700000" algn="tl" rotWithShape="0">
              <a:schemeClr val="accent6"/>
            </a:outerShdw>
          </a:effectLst>
        </c:spPr>
        <c:marker>
          <c:symbol val="square"/>
          <c:size val="7"/>
          <c:spPr>
            <a:solidFill>
              <a:schemeClr val="accent6">
                <a:lumMod val="75000"/>
              </a:schemeClr>
            </a:solidFill>
            <a:ln w="22225">
              <a:solidFill>
                <a:schemeClr val="lt1"/>
              </a:solidFill>
              <a:round/>
            </a:ln>
            <a:effectLst/>
          </c:spPr>
        </c:marker>
        <c:dLbl>
          <c:idx val="0"/>
          <c:spPr>
            <a:solidFill>
              <a:schemeClr val="accent6">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6"/>
            </a:outerShdw>
          </a:effectLst>
        </c:spPr>
        <c:marker>
          <c:symbol val="square"/>
          <c:size val="7"/>
          <c:spPr>
            <a:solidFill>
              <a:schemeClr val="accent6">
                <a:lumMod val="75000"/>
              </a:schemeClr>
            </a:solidFill>
            <a:ln w="22225">
              <a:solidFill>
                <a:schemeClr val="lt1"/>
              </a:solidFill>
              <a:round/>
            </a:ln>
            <a:effectLst/>
          </c:spPr>
        </c:marker>
      </c:pivotFmt>
    </c:pivotFmts>
    <c:plotArea>
      <c:layout>
        <c:manualLayout>
          <c:layoutTarget val="inner"/>
          <c:xMode val="edge"/>
          <c:yMode val="edge"/>
          <c:x val="4.4048556430446195E-2"/>
          <c:y val="5.0925925925925923E-2"/>
          <c:w val="0.9253958880139983"/>
          <c:h val="0.84204505686789155"/>
        </c:manualLayout>
      </c:layout>
      <c:lineChart>
        <c:grouping val="standard"/>
        <c:varyColors val="0"/>
        <c:ser>
          <c:idx val="0"/>
          <c:order val="0"/>
          <c:tx>
            <c:strRef>
              <c:f>Sheet1!$N$3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square"/>
            <c:size val="7"/>
            <c:spPr>
              <a:solidFill>
                <a:schemeClr val="accent6">
                  <a:lumMod val="75000"/>
                </a:schemeClr>
              </a:solidFill>
              <a:ln w="22225">
                <a:solidFill>
                  <a:schemeClr val="lt1"/>
                </a:solidFill>
                <a:round/>
              </a:ln>
              <a:effectLst/>
            </c:spPr>
          </c:marker>
          <c:dLbls>
            <c:spPr>
              <a:solidFill>
                <a:schemeClr val="accent6">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Sheet1!$M$4:$M$16</c:f>
              <c:strCache>
                <c:ptCount val="12"/>
                <c:pt idx="0">
                  <c:v>Action Figure</c:v>
                </c:pt>
                <c:pt idx="1">
                  <c:v>Blender</c:v>
                </c:pt>
                <c:pt idx="2">
                  <c:v>Moisturizer</c:v>
                </c:pt>
                <c:pt idx="3">
                  <c:v>Novel</c:v>
                </c:pt>
                <c:pt idx="4">
                  <c:v>Smartphone</c:v>
                </c:pt>
                <c:pt idx="5">
                  <c:v>Sneakers</c:v>
                </c:pt>
                <c:pt idx="6">
                  <c:v>Tent</c:v>
                </c:pt>
                <c:pt idx="7">
                  <c:v>Formula1</c:v>
                </c:pt>
                <c:pt idx="8">
                  <c:v>Formula2</c:v>
                </c:pt>
                <c:pt idx="9">
                  <c:v>Formula3</c:v>
                </c:pt>
                <c:pt idx="10">
                  <c:v>Formula4</c:v>
                </c:pt>
                <c:pt idx="11">
                  <c:v>Formula5</c:v>
                </c:pt>
              </c:strCache>
            </c:strRef>
          </c:cat>
          <c:val>
            <c:numRef>
              <c:f>Sheet1!$N$4:$N$16</c:f>
              <c:numCache>
                <c:formatCode>General</c:formatCode>
                <c:ptCount val="12"/>
                <c:pt idx="0">
                  <c:v>59</c:v>
                </c:pt>
                <c:pt idx="1">
                  <c:v>219</c:v>
                </c:pt>
                <c:pt idx="2">
                  <c:v>158</c:v>
                </c:pt>
                <c:pt idx="3">
                  <c:v>228</c:v>
                </c:pt>
                <c:pt idx="4">
                  <c:v>108</c:v>
                </c:pt>
                <c:pt idx="5">
                  <c:v>177</c:v>
                </c:pt>
                <c:pt idx="6">
                  <c:v>155</c:v>
                </c:pt>
              </c:numCache>
            </c:numRef>
          </c:val>
          <c:smooth val="0"/>
          <c:extLst>
            <c:ext xmlns:c16="http://schemas.microsoft.com/office/drawing/2014/chart" uri="{C3380CC4-5D6E-409C-BE32-E72D297353CC}">
              <c16:uniqueId val="{00000000-F6DB-4D0E-B4BE-319C05169AA0}"/>
            </c:ext>
          </c:extLst>
        </c:ser>
        <c:dLbls>
          <c:dLblPos val="t"/>
          <c:showLegendKey val="0"/>
          <c:showVal val="1"/>
          <c:showCatName val="0"/>
          <c:showSerName val="0"/>
          <c:showPercent val="0"/>
          <c:showBubbleSize val="0"/>
        </c:dLbls>
        <c:dropLines>
          <c:spPr>
            <a:ln w="31750" cap="flat" cmpd="sng" algn="ctr">
              <a:solidFill>
                <a:schemeClr val="accent6">
                  <a:lumMod val="75000"/>
                </a:schemeClr>
              </a:solidFill>
              <a:round/>
            </a:ln>
            <a:effectLst/>
          </c:spPr>
        </c:dropLines>
        <c:marker val="1"/>
        <c:smooth val="0"/>
        <c:axId val="454247040"/>
        <c:axId val="454248000"/>
      </c:lineChart>
      <c:catAx>
        <c:axId val="454247040"/>
        <c:scaling>
          <c:orientation val="minMax"/>
        </c:scaling>
        <c:delete val="0"/>
        <c:axPos val="b"/>
        <c:numFmt formatCode="General" sourceLinked="1"/>
        <c:majorTickMark val="none"/>
        <c:minorTickMark val="none"/>
        <c:tickLblPos val="nextTo"/>
        <c:spPr>
          <a:solidFill>
            <a:schemeClr val="tx1"/>
          </a:solid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54248000"/>
        <c:crosses val="autoZero"/>
        <c:auto val="1"/>
        <c:lblAlgn val="ctr"/>
        <c:lblOffset val="100"/>
        <c:noMultiLvlLbl val="0"/>
      </c:catAx>
      <c:valAx>
        <c:axId val="454248000"/>
        <c:scaling>
          <c:orientation val="minMax"/>
        </c:scaling>
        <c:delete val="1"/>
        <c:axPos val="l"/>
        <c:numFmt formatCode="General" sourceLinked="1"/>
        <c:majorTickMark val="none"/>
        <c:minorTickMark val="none"/>
        <c:tickLblPos val="nextTo"/>
        <c:crossAx val="454247040"/>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36285</xdr:colOff>
      <xdr:row>0</xdr:row>
      <xdr:rowOff>0</xdr:rowOff>
    </xdr:from>
    <xdr:to>
      <xdr:col>22</xdr:col>
      <xdr:colOff>229808</xdr:colOff>
      <xdr:row>5</xdr:row>
      <xdr:rowOff>0</xdr:rowOff>
    </xdr:to>
    <xdr:sp macro="" textlink="">
      <xdr:nvSpPr>
        <xdr:cNvPr id="4" name="Rectangle: Rounded Corners 3">
          <a:extLst>
            <a:ext uri="{FF2B5EF4-FFF2-40B4-BE49-F238E27FC236}">
              <a16:creationId xmlns:a16="http://schemas.microsoft.com/office/drawing/2014/main" id="{183DCA04-84C3-58BA-F2F0-3155F2C9C93E}"/>
            </a:ext>
          </a:extLst>
        </xdr:cNvPr>
        <xdr:cNvSpPr/>
      </xdr:nvSpPr>
      <xdr:spPr>
        <a:xfrm>
          <a:off x="36285" y="0"/>
          <a:ext cx="13498285" cy="907143"/>
        </a:xfrm>
        <a:prstGeom prst="roundRect">
          <a:avLst>
            <a:gd name="adj" fmla="val 133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clientData/>
  </xdr:twoCellAnchor>
  <xdr:twoCellAnchor>
    <xdr:from>
      <xdr:col>0</xdr:col>
      <xdr:colOff>44825</xdr:colOff>
      <xdr:row>6</xdr:row>
      <xdr:rowOff>6223</xdr:rowOff>
    </xdr:from>
    <xdr:to>
      <xdr:col>3</xdr:col>
      <xdr:colOff>535701</xdr:colOff>
      <xdr:row>10</xdr:row>
      <xdr:rowOff>83244</xdr:rowOff>
    </xdr:to>
    <xdr:sp macro="" textlink="">
      <xdr:nvSpPr>
        <xdr:cNvPr id="5" name="Rectangle: Rounded Corners 4">
          <a:extLst>
            <a:ext uri="{FF2B5EF4-FFF2-40B4-BE49-F238E27FC236}">
              <a16:creationId xmlns:a16="http://schemas.microsoft.com/office/drawing/2014/main" id="{34297694-0906-0F91-64DB-96E7471096DE}"/>
            </a:ext>
          </a:extLst>
        </xdr:cNvPr>
        <xdr:cNvSpPr/>
      </xdr:nvSpPr>
      <xdr:spPr>
        <a:xfrm>
          <a:off x="44825" y="1120408"/>
          <a:ext cx="2315834" cy="819811"/>
        </a:xfrm>
        <a:prstGeom prst="roundRect">
          <a:avLst>
            <a:gd name="adj" fmla="val 133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Sales</a:t>
          </a:r>
        </a:p>
      </xdr:txBody>
    </xdr:sp>
    <xdr:clientData/>
  </xdr:twoCellAnchor>
  <xdr:twoCellAnchor>
    <xdr:from>
      <xdr:col>0</xdr:col>
      <xdr:colOff>51058</xdr:colOff>
      <xdr:row>6</xdr:row>
      <xdr:rowOff>6403</xdr:rowOff>
    </xdr:from>
    <xdr:to>
      <xdr:col>3</xdr:col>
      <xdr:colOff>204908</xdr:colOff>
      <xdr:row>10</xdr:row>
      <xdr:rowOff>89647</xdr:rowOff>
    </xdr:to>
    <xdr:grpSp>
      <xdr:nvGrpSpPr>
        <xdr:cNvPr id="11" name="Group 10">
          <a:extLst>
            <a:ext uri="{FF2B5EF4-FFF2-40B4-BE49-F238E27FC236}">
              <a16:creationId xmlns:a16="http://schemas.microsoft.com/office/drawing/2014/main" id="{A7D71054-4B7C-7241-D82E-5312CC3ED0EB}"/>
            </a:ext>
          </a:extLst>
        </xdr:cNvPr>
        <xdr:cNvGrpSpPr/>
      </xdr:nvGrpSpPr>
      <xdr:grpSpPr>
        <a:xfrm>
          <a:off x="51058" y="1061480"/>
          <a:ext cx="2000235" cy="786629"/>
          <a:chOff x="95880" y="1133395"/>
          <a:chExt cx="2017229" cy="826034"/>
        </a:xfrm>
      </xdr:grpSpPr>
      <xdr:sp macro="" textlink="">
        <xdr:nvSpPr>
          <xdr:cNvPr id="6" name="Rectangle: Rounded Corners 5">
            <a:extLst>
              <a:ext uri="{FF2B5EF4-FFF2-40B4-BE49-F238E27FC236}">
                <a16:creationId xmlns:a16="http://schemas.microsoft.com/office/drawing/2014/main" id="{03305D32-23EF-7AAD-2CFB-A30C6202649C}"/>
              </a:ext>
            </a:extLst>
          </xdr:cNvPr>
          <xdr:cNvSpPr/>
        </xdr:nvSpPr>
        <xdr:spPr>
          <a:xfrm>
            <a:off x="95880" y="1133395"/>
            <a:ext cx="708460" cy="826034"/>
          </a:xfrm>
          <a:prstGeom prst="roundRect">
            <a:avLst>
              <a:gd name="adj" fmla="val 18083"/>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EE0E0070-F7A1-14D6-AAD0-8954687A4085}"/>
              </a:ext>
            </a:extLst>
          </xdr:cNvPr>
          <xdr:cNvSpPr txBox="1"/>
        </xdr:nvSpPr>
        <xdr:spPr>
          <a:xfrm>
            <a:off x="927270" y="1222495"/>
            <a:ext cx="1116524" cy="2471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a:solidFill>
                  <a:schemeClr val="accent6">
                    <a:lumMod val="75000"/>
                  </a:schemeClr>
                </a:solidFill>
                <a:latin typeface="Times New Roman" panose="02020603050405020304" pitchFamily="18" charset="0"/>
                <a:cs typeface="Times New Roman" panose="02020603050405020304" pitchFamily="18" charset="0"/>
              </a:rPr>
              <a:t>TOTAL</a:t>
            </a:r>
            <a:r>
              <a:rPr lang="en-IN" sz="1050" b="1" baseline="0">
                <a:solidFill>
                  <a:schemeClr val="accent6">
                    <a:lumMod val="75000"/>
                  </a:schemeClr>
                </a:solidFill>
                <a:latin typeface="Times New Roman" panose="02020603050405020304" pitchFamily="18" charset="0"/>
                <a:cs typeface="Times New Roman" panose="02020603050405020304" pitchFamily="18" charset="0"/>
              </a:rPr>
              <a:t> SALES</a:t>
            </a:r>
            <a:endParaRPr lang="en-IN" sz="1050" b="1">
              <a:solidFill>
                <a:schemeClr val="accent6">
                  <a:lumMod val="75000"/>
                </a:schemeClr>
              </a:solidFill>
              <a:latin typeface="Times New Roman" panose="02020603050405020304" pitchFamily="18" charset="0"/>
              <a:cs typeface="Times New Roman" panose="02020603050405020304" pitchFamily="18" charset="0"/>
            </a:endParaRPr>
          </a:p>
        </xdr:txBody>
      </xdr:sp>
      <xdr:sp macro="" textlink="SalesData!K2">
        <xdr:nvSpPr>
          <xdr:cNvPr id="10" name="TextBox 9">
            <a:extLst>
              <a:ext uri="{FF2B5EF4-FFF2-40B4-BE49-F238E27FC236}">
                <a16:creationId xmlns:a16="http://schemas.microsoft.com/office/drawing/2014/main" id="{E5154AD9-8039-084A-391C-7C93904A0038}"/>
              </a:ext>
            </a:extLst>
          </xdr:cNvPr>
          <xdr:cNvSpPr txBox="1"/>
        </xdr:nvSpPr>
        <xdr:spPr>
          <a:xfrm>
            <a:off x="928487" y="1498387"/>
            <a:ext cx="1184622" cy="2625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3313062-B8FC-45E9-BE31-D8E9CBD7AD3D}" type="TxLink">
              <a:rPr lang="en-US" sz="1200" b="1" i="0" u="none" strike="noStrike">
                <a:ln>
                  <a:noFill/>
                </a:ln>
                <a:solidFill>
                  <a:schemeClr val="accent6">
                    <a:lumMod val="75000"/>
                  </a:schemeClr>
                </a:solidFill>
                <a:latin typeface="+mn-lt"/>
                <a:cs typeface="Times New Roman" panose="02020603050405020304" pitchFamily="18" charset="0"/>
              </a:rPr>
              <a:pPr/>
              <a:t> 1,29,44,500.00 </a:t>
            </a:fld>
            <a:endParaRPr lang="en-IN" sz="1200" b="1">
              <a:ln>
                <a:noFill/>
              </a:ln>
              <a:solidFill>
                <a:schemeClr val="accent6">
                  <a:lumMod val="75000"/>
                </a:schemeClr>
              </a:solidFill>
              <a:latin typeface="+mn-lt"/>
              <a:cs typeface="Times New Roman" panose="02020603050405020304" pitchFamily="18" charset="0"/>
            </a:endParaRPr>
          </a:p>
        </xdr:txBody>
      </xdr:sp>
    </xdr:grpSp>
    <xdr:clientData/>
  </xdr:twoCellAnchor>
  <xdr:twoCellAnchor>
    <xdr:from>
      <xdr:col>4</xdr:col>
      <xdr:colOff>281749</xdr:colOff>
      <xdr:row>6</xdr:row>
      <xdr:rowOff>38241</xdr:rowOff>
    </xdr:from>
    <xdr:to>
      <xdr:col>8</xdr:col>
      <xdr:colOff>164305</xdr:colOff>
      <xdr:row>10</xdr:row>
      <xdr:rowOff>115262</xdr:rowOff>
    </xdr:to>
    <xdr:sp macro="" textlink="">
      <xdr:nvSpPr>
        <xdr:cNvPr id="14" name="Rectangle: Rounded Corners 13">
          <a:extLst>
            <a:ext uri="{FF2B5EF4-FFF2-40B4-BE49-F238E27FC236}">
              <a16:creationId xmlns:a16="http://schemas.microsoft.com/office/drawing/2014/main" id="{577673EF-E43D-76BB-2775-3281A56B4D81}"/>
            </a:ext>
          </a:extLst>
        </xdr:cNvPr>
        <xdr:cNvSpPr/>
      </xdr:nvSpPr>
      <xdr:spPr>
        <a:xfrm>
          <a:off x="2715026" y="1152426"/>
          <a:ext cx="2315834" cy="819811"/>
        </a:xfrm>
        <a:prstGeom prst="roundRect">
          <a:avLst>
            <a:gd name="adj" fmla="val 133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Sales</a:t>
          </a:r>
        </a:p>
      </xdr:txBody>
    </xdr:sp>
    <xdr:clientData/>
  </xdr:twoCellAnchor>
  <xdr:twoCellAnchor>
    <xdr:from>
      <xdr:col>4</xdr:col>
      <xdr:colOff>287982</xdr:colOff>
      <xdr:row>6</xdr:row>
      <xdr:rowOff>25614</xdr:rowOff>
    </xdr:from>
    <xdr:to>
      <xdr:col>7</xdr:col>
      <xdr:colOff>193967</xdr:colOff>
      <xdr:row>10</xdr:row>
      <xdr:rowOff>108858</xdr:rowOff>
    </xdr:to>
    <xdr:grpSp>
      <xdr:nvGrpSpPr>
        <xdr:cNvPr id="15" name="Group 14">
          <a:extLst>
            <a:ext uri="{FF2B5EF4-FFF2-40B4-BE49-F238E27FC236}">
              <a16:creationId xmlns:a16="http://schemas.microsoft.com/office/drawing/2014/main" id="{684D0C88-94DD-C39C-12FF-7D1CBE3C9B46}"/>
            </a:ext>
          </a:extLst>
        </xdr:cNvPr>
        <xdr:cNvGrpSpPr/>
      </xdr:nvGrpSpPr>
      <xdr:grpSpPr>
        <a:xfrm>
          <a:off x="2749828" y="1080691"/>
          <a:ext cx="1752370" cy="786629"/>
          <a:chOff x="102407" y="1114185"/>
          <a:chExt cx="1764552" cy="826034"/>
        </a:xfrm>
      </xdr:grpSpPr>
      <xdr:sp macro="" textlink="">
        <xdr:nvSpPr>
          <xdr:cNvPr id="16" name="Rectangle: Rounded Corners 15">
            <a:extLst>
              <a:ext uri="{FF2B5EF4-FFF2-40B4-BE49-F238E27FC236}">
                <a16:creationId xmlns:a16="http://schemas.microsoft.com/office/drawing/2014/main" id="{07375897-90B5-185D-1EE5-B5AD10FE536C}"/>
              </a:ext>
            </a:extLst>
          </xdr:cNvPr>
          <xdr:cNvSpPr/>
        </xdr:nvSpPr>
        <xdr:spPr>
          <a:xfrm>
            <a:off x="102407" y="1114185"/>
            <a:ext cx="708460" cy="826034"/>
          </a:xfrm>
          <a:prstGeom prst="roundRect">
            <a:avLst>
              <a:gd name="adj" fmla="val 18083"/>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F3B8C1A3-A80B-5A16-A2CE-BC87D141F5D0}"/>
              </a:ext>
            </a:extLst>
          </xdr:cNvPr>
          <xdr:cNvSpPr txBox="1"/>
        </xdr:nvSpPr>
        <xdr:spPr>
          <a:xfrm>
            <a:off x="927270" y="1222495"/>
            <a:ext cx="939689" cy="2471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a:solidFill>
                  <a:schemeClr val="accent6">
                    <a:lumMod val="75000"/>
                  </a:schemeClr>
                </a:solidFill>
                <a:latin typeface="Times New Roman" panose="02020603050405020304" pitchFamily="18" charset="0"/>
                <a:cs typeface="Times New Roman" panose="02020603050405020304" pitchFamily="18" charset="0"/>
              </a:rPr>
              <a:t>UNIT</a:t>
            </a:r>
            <a:r>
              <a:rPr lang="en-IN" sz="1050" b="1" baseline="0">
                <a:solidFill>
                  <a:schemeClr val="accent6">
                    <a:lumMod val="75000"/>
                  </a:schemeClr>
                </a:solidFill>
                <a:latin typeface="Times New Roman" panose="02020603050405020304" pitchFamily="18" charset="0"/>
                <a:cs typeface="Times New Roman" panose="02020603050405020304" pitchFamily="18" charset="0"/>
              </a:rPr>
              <a:t> SOLD</a:t>
            </a:r>
            <a:endParaRPr lang="en-IN" sz="1050" b="1">
              <a:solidFill>
                <a:schemeClr val="accent6">
                  <a:lumMod val="75000"/>
                </a:schemeClr>
              </a:solidFill>
              <a:latin typeface="Times New Roman" panose="02020603050405020304" pitchFamily="18" charset="0"/>
              <a:cs typeface="Times New Roman" panose="02020603050405020304" pitchFamily="18" charset="0"/>
            </a:endParaRPr>
          </a:p>
        </xdr:txBody>
      </xdr:sp>
    </xdr:grpSp>
    <xdr:clientData/>
  </xdr:twoCellAnchor>
  <xdr:twoCellAnchor>
    <xdr:from>
      <xdr:col>8</xdr:col>
      <xdr:colOff>486656</xdr:colOff>
      <xdr:row>6</xdr:row>
      <xdr:rowOff>44823</xdr:rowOff>
    </xdr:from>
    <xdr:to>
      <xdr:col>12</xdr:col>
      <xdr:colOff>369213</xdr:colOff>
      <xdr:row>10</xdr:row>
      <xdr:rowOff>121844</xdr:rowOff>
    </xdr:to>
    <xdr:sp macro="" textlink="">
      <xdr:nvSpPr>
        <xdr:cNvPr id="23" name="Rectangle: Rounded Corners 22">
          <a:extLst>
            <a:ext uri="{FF2B5EF4-FFF2-40B4-BE49-F238E27FC236}">
              <a16:creationId xmlns:a16="http://schemas.microsoft.com/office/drawing/2014/main" id="{2FAEC0A7-94B5-4B9C-A3D6-0D24389FD080}"/>
            </a:ext>
          </a:extLst>
        </xdr:cNvPr>
        <xdr:cNvSpPr/>
      </xdr:nvSpPr>
      <xdr:spPr>
        <a:xfrm>
          <a:off x="5353211" y="1159008"/>
          <a:ext cx="2315834" cy="819811"/>
        </a:xfrm>
        <a:prstGeom prst="roundRect">
          <a:avLst>
            <a:gd name="adj" fmla="val 133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Sales</a:t>
          </a:r>
        </a:p>
      </xdr:txBody>
    </xdr:sp>
    <xdr:clientData/>
  </xdr:twoCellAnchor>
  <xdr:twoCellAnchor>
    <xdr:from>
      <xdr:col>8</xdr:col>
      <xdr:colOff>493059</xdr:colOff>
      <xdr:row>6</xdr:row>
      <xdr:rowOff>32017</xdr:rowOff>
    </xdr:from>
    <xdr:to>
      <xdr:col>9</xdr:col>
      <xdr:colOff>579706</xdr:colOff>
      <xdr:row>10</xdr:row>
      <xdr:rowOff>115261</xdr:rowOff>
    </xdr:to>
    <xdr:sp macro="" textlink="">
      <xdr:nvSpPr>
        <xdr:cNvPr id="24" name="Rectangle: Rounded Corners 23">
          <a:extLst>
            <a:ext uri="{FF2B5EF4-FFF2-40B4-BE49-F238E27FC236}">
              <a16:creationId xmlns:a16="http://schemas.microsoft.com/office/drawing/2014/main" id="{786ACA28-4FC4-46CD-9B66-15ACBCB45A8C}"/>
            </a:ext>
          </a:extLst>
        </xdr:cNvPr>
        <xdr:cNvSpPr/>
      </xdr:nvSpPr>
      <xdr:spPr>
        <a:xfrm>
          <a:off x="5359614" y="1146202"/>
          <a:ext cx="694966" cy="826034"/>
        </a:xfrm>
        <a:prstGeom prst="roundRect">
          <a:avLst>
            <a:gd name="adj" fmla="val 18083"/>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115261</xdr:colOff>
      <xdr:row>6</xdr:row>
      <xdr:rowOff>108856</xdr:rowOff>
    </xdr:from>
    <xdr:ext cx="1318502" cy="419346"/>
    <xdr:sp macro="" textlink="">
      <xdr:nvSpPr>
        <xdr:cNvPr id="26" name="TextBox 25">
          <a:extLst>
            <a:ext uri="{FF2B5EF4-FFF2-40B4-BE49-F238E27FC236}">
              <a16:creationId xmlns:a16="http://schemas.microsoft.com/office/drawing/2014/main" id="{92797F69-9CE0-3783-548F-71866729623F}"/>
            </a:ext>
          </a:extLst>
        </xdr:cNvPr>
        <xdr:cNvSpPr txBox="1"/>
      </xdr:nvSpPr>
      <xdr:spPr>
        <a:xfrm>
          <a:off x="6198454" y="1223041"/>
          <a:ext cx="1318502" cy="419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050" b="1">
              <a:ln>
                <a:noFill/>
              </a:ln>
              <a:solidFill>
                <a:schemeClr val="accent6">
                  <a:lumMod val="75000"/>
                </a:schemeClr>
              </a:solidFill>
              <a:effectLst/>
              <a:latin typeface="Times New Roman" panose="02020603050405020304" pitchFamily="18" charset="0"/>
              <a:ea typeface="+mn-ea"/>
              <a:cs typeface="Times New Roman" panose="02020603050405020304" pitchFamily="18" charset="0"/>
            </a:rPr>
            <a:t>AVERAGE</a:t>
          </a:r>
          <a:r>
            <a:rPr lang="en-IN" sz="1050" b="1" baseline="0">
              <a:ln>
                <a:noFill/>
              </a:ln>
              <a:solidFill>
                <a:schemeClr val="accent6">
                  <a:lumMod val="75000"/>
                </a:schemeClr>
              </a:solidFill>
              <a:effectLst/>
              <a:latin typeface="Times New Roman" panose="02020603050405020304" pitchFamily="18" charset="0"/>
              <a:ea typeface="+mn-ea"/>
              <a:cs typeface="Times New Roman" panose="02020603050405020304" pitchFamily="18" charset="0"/>
            </a:rPr>
            <a:t> SALES</a:t>
          </a:r>
          <a:endParaRPr lang="en-IN" sz="1050">
            <a:ln>
              <a:noFill/>
            </a:ln>
            <a:solidFill>
              <a:schemeClr val="accent6">
                <a:lumMod val="75000"/>
              </a:schemeClr>
            </a:solidFill>
            <a:effectLst/>
            <a:latin typeface="Times New Roman" panose="02020603050405020304" pitchFamily="18" charset="0"/>
            <a:cs typeface="Times New Roman" panose="02020603050405020304" pitchFamily="18" charset="0"/>
          </a:endParaRPr>
        </a:p>
        <a:p>
          <a:endParaRPr lang="en-IN" sz="1100">
            <a:ln>
              <a:noFill/>
            </a:ln>
          </a:endParaRPr>
        </a:p>
      </xdr:txBody>
    </xdr:sp>
    <xdr:clientData/>
  </xdr:oneCellAnchor>
  <xdr:twoCellAnchor>
    <xdr:from>
      <xdr:col>13</xdr:col>
      <xdr:colOff>441832</xdr:colOff>
      <xdr:row>6</xdr:row>
      <xdr:rowOff>32016</xdr:rowOff>
    </xdr:from>
    <xdr:to>
      <xdr:col>17</xdr:col>
      <xdr:colOff>324388</xdr:colOff>
      <xdr:row>10</xdr:row>
      <xdr:rowOff>109037</xdr:rowOff>
    </xdr:to>
    <xdr:sp macro="" textlink="">
      <xdr:nvSpPr>
        <xdr:cNvPr id="27" name="Rectangle: Rounded Corners 26">
          <a:extLst>
            <a:ext uri="{FF2B5EF4-FFF2-40B4-BE49-F238E27FC236}">
              <a16:creationId xmlns:a16="http://schemas.microsoft.com/office/drawing/2014/main" id="{0F654A94-B215-495A-9C8D-20C9B8F17458}"/>
            </a:ext>
          </a:extLst>
        </xdr:cNvPr>
        <xdr:cNvSpPr/>
      </xdr:nvSpPr>
      <xdr:spPr>
        <a:xfrm>
          <a:off x="8349983" y="1146201"/>
          <a:ext cx="2315834" cy="819811"/>
        </a:xfrm>
        <a:prstGeom prst="roundRect">
          <a:avLst>
            <a:gd name="adj" fmla="val 133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Sales</a:t>
          </a:r>
        </a:p>
      </xdr:txBody>
    </xdr:sp>
    <xdr:clientData/>
  </xdr:twoCellAnchor>
  <xdr:twoCellAnchor>
    <xdr:from>
      <xdr:col>13</xdr:col>
      <xdr:colOff>448236</xdr:colOff>
      <xdr:row>6</xdr:row>
      <xdr:rowOff>32016</xdr:rowOff>
    </xdr:from>
    <xdr:to>
      <xdr:col>14</xdr:col>
      <xdr:colOff>534882</xdr:colOff>
      <xdr:row>10</xdr:row>
      <xdr:rowOff>115260</xdr:rowOff>
    </xdr:to>
    <xdr:sp macro="" textlink="">
      <xdr:nvSpPr>
        <xdr:cNvPr id="28" name="Rectangle: Rounded Corners 27">
          <a:extLst>
            <a:ext uri="{FF2B5EF4-FFF2-40B4-BE49-F238E27FC236}">
              <a16:creationId xmlns:a16="http://schemas.microsoft.com/office/drawing/2014/main" id="{0A55589A-B08D-4509-844E-7A93A3FE3BF6}"/>
            </a:ext>
          </a:extLst>
        </xdr:cNvPr>
        <xdr:cNvSpPr/>
      </xdr:nvSpPr>
      <xdr:spPr>
        <a:xfrm>
          <a:off x="8356387" y="1146201"/>
          <a:ext cx="694966" cy="826034"/>
        </a:xfrm>
        <a:prstGeom prst="roundRect">
          <a:avLst>
            <a:gd name="adj" fmla="val 18083"/>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15</xdr:col>
      <xdr:colOff>288150</xdr:colOff>
      <xdr:row>6</xdr:row>
      <xdr:rowOff>38420</xdr:rowOff>
    </xdr:from>
    <xdr:ext cx="693395" cy="419346"/>
    <xdr:sp macro="" textlink="">
      <xdr:nvSpPr>
        <xdr:cNvPr id="29" name="TextBox 28">
          <a:extLst>
            <a:ext uri="{FF2B5EF4-FFF2-40B4-BE49-F238E27FC236}">
              <a16:creationId xmlns:a16="http://schemas.microsoft.com/office/drawing/2014/main" id="{917DE67A-B756-8B64-01BD-2673C158D6B7}"/>
            </a:ext>
          </a:extLst>
        </xdr:cNvPr>
        <xdr:cNvSpPr txBox="1"/>
      </xdr:nvSpPr>
      <xdr:spPr>
        <a:xfrm>
          <a:off x="9412940" y="1152605"/>
          <a:ext cx="693395" cy="419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050" b="1">
              <a:solidFill>
                <a:schemeClr val="accent6">
                  <a:lumMod val="75000"/>
                </a:schemeClr>
              </a:solidFill>
              <a:effectLst/>
              <a:latin typeface="Times New Roman" panose="02020603050405020304" pitchFamily="18" charset="0"/>
              <a:ea typeface="+mn-ea"/>
              <a:cs typeface="Times New Roman" panose="02020603050405020304" pitchFamily="18" charset="0"/>
            </a:rPr>
            <a:t>PROFIT</a:t>
          </a:r>
          <a:endParaRPr lang="en-IN" sz="1050">
            <a:solidFill>
              <a:schemeClr val="accent6">
                <a:lumMod val="75000"/>
              </a:schemeClr>
            </a:solidFill>
            <a:effectLst/>
            <a:latin typeface="Times New Roman" panose="02020603050405020304" pitchFamily="18" charset="0"/>
            <a:cs typeface="Times New Roman" panose="02020603050405020304" pitchFamily="18" charset="0"/>
          </a:endParaRPr>
        </a:p>
        <a:p>
          <a:endParaRPr lang="en-IN" sz="1100"/>
        </a:p>
      </xdr:txBody>
    </xdr:sp>
    <xdr:clientData/>
  </xdr:oneCellAnchor>
  <xdr:oneCellAnchor>
    <xdr:from>
      <xdr:col>5</xdr:col>
      <xdr:colOff>576303</xdr:colOff>
      <xdr:row>7</xdr:row>
      <xdr:rowOff>160084</xdr:rowOff>
    </xdr:from>
    <xdr:ext cx="739818" cy="264560"/>
    <xdr:sp macro="" textlink="SalesData!K4">
      <xdr:nvSpPr>
        <xdr:cNvPr id="30" name="TextBox 29">
          <a:extLst>
            <a:ext uri="{FF2B5EF4-FFF2-40B4-BE49-F238E27FC236}">
              <a16:creationId xmlns:a16="http://schemas.microsoft.com/office/drawing/2014/main" id="{27062FC6-08B9-3B31-8877-11B6C7755E45}"/>
            </a:ext>
          </a:extLst>
        </xdr:cNvPr>
        <xdr:cNvSpPr txBox="1"/>
      </xdr:nvSpPr>
      <xdr:spPr>
        <a:xfrm>
          <a:off x="3617900" y="1459966"/>
          <a:ext cx="739818" cy="264560"/>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FC6E062-AB2D-4331-ABC2-C699AB25B83F}" type="TxLink">
            <a:rPr lang="en-US" sz="1050" b="1" i="0" u="none" strike="noStrike">
              <a:solidFill>
                <a:schemeClr val="accent6">
                  <a:lumMod val="75000"/>
                </a:schemeClr>
              </a:solidFill>
              <a:latin typeface="+mn-lt"/>
              <a:cs typeface="Times New Roman" panose="02020603050405020304" pitchFamily="18" charset="0"/>
            </a:rPr>
            <a:pPr/>
            <a:t> 4,705.00 </a:t>
          </a:fld>
          <a:endParaRPr lang="en-IN" sz="1050" b="1">
            <a:solidFill>
              <a:schemeClr val="accent6">
                <a:lumMod val="75000"/>
              </a:schemeClr>
            </a:solidFill>
            <a:latin typeface="+mn-lt"/>
            <a:cs typeface="Times New Roman" panose="02020603050405020304" pitchFamily="18" charset="0"/>
          </a:endParaRPr>
        </a:p>
      </xdr:txBody>
    </xdr:sp>
    <xdr:clientData/>
  </xdr:oneCellAnchor>
  <xdr:oneCellAnchor>
    <xdr:from>
      <xdr:col>10</xdr:col>
      <xdr:colOff>275346</xdr:colOff>
      <xdr:row>7</xdr:row>
      <xdr:rowOff>134471</xdr:rowOff>
    </xdr:from>
    <xdr:ext cx="1094973" cy="211310"/>
    <xdr:sp macro="" textlink="SalesData!K6">
      <xdr:nvSpPr>
        <xdr:cNvPr id="32" name="TextBox 31">
          <a:extLst>
            <a:ext uri="{FF2B5EF4-FFF2-40B4-BE49-F238E27FC236}">
              <a16:creationId xmlns:a16="http://schemas.microsoft.com/office/drawing/2014/main" id="{23A85633-5771-D541-F1F9-2D1963D7771B}"/>
            </a:ext>
          </a:extLst>
        </xdr:cNvPr>
        <xdr:cNvSpPr txBox="1"/>
      </xdr:nvSpPr>
      <xdr:spPr>
        <a:xfrm>
          <a:off x="6358539" y="1434353"/>
          <a:ext cx="1094973" cy="2113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31322D9-3FAA-4378-8390-E982476B0FC7}" type="TxLink">
            <a:rPr lang="en-US" sz="1100" b="1" i="0" u="none" strike="noStrike">
              <a:solidFill>
                <a:schemeClr val="accent6">
                  <a:lumMod val="75000"/>
                </a:schemeClr>
              </a:solidFill>
              <a:latin typeface="+mn-lt"/>
              <a:cs typeface="Times New Roman" panose="02020603050405020304" pitchFamily="18" charset="0"/>
            </a:rPr>
            <a:pPr/>
            <a:t> 38,34,400.00 </a:t>
          </a:fld>
          <a:endParaRPr lang="en-IN" sz="1100" b="1">
            <a:solidFill>
              <a:schemeClr val="accent6">
                <a:lumMod val="75000"/>
              </a:schemeClr>
            </a:solidFill>
            <a:latin typeface="+mn-lt"/>
            <a:cs typeface="Times New Roman" panose="02020603050405020304" pitchFamily="18" charset="0"/>
          </a:endParaRPr>
        </a:p>
      </xdr:txBody>
    </xdr:sp>
    <xdr:clientData/>
  </xdr:oneCellAnchor>
  <xdr:oneCellAnchor>
    <xdr:from>
      <xdr:col>15</xdr:col>
      <xdr:colOff>192101</xdr:colOff>
      <xdr:row>7</xdr:row>
      <xdr:rowOff>121665</xdr:rowOff>
    </xdr:from>
    <xdr:ext cx="928488" cy="264560"/>
    <xdr:sp macro="" textlink="SalesData!K8">
      <xdr:nvSpPr>
        <xdr:cNvPr id="33" name="TextBox 32">
          <a:extLst>
            <a:ext uri="{FF2B5EF4-FFF2-40B4-BE49-F238E27FC236}">
              <a16:creationId xmlns:a16="http://schemas.microsoft.com/office/drawing/2014/main" id="{69146190-1BA2-0B6B-0DC5-3ED065861E05}"/>
            </a:ext>
          </a:extLst>
        </xdr:cNvPr>
        <xdr:cNvSpPr txBox="1"/>
      </xdr:nvSpPr>
      <xdr:spPr>
        <a:xfrm>
          <a:off x="9316891" y="1421547"/>
          <a:ext cx="928488"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0A0CE1C-DBA0-43B3-A2E1-3DEB447EFE56}" type="TxLink">
            <a:rPr lang="en-US" sz="1100" b="1" i="0" u="none" strike="noStrike">
              <a:solidFill>
                <a:schemeClr val="accent6">
                  <a:lumMod val="75000"/>
                </a:schemeClr>
              </a:solidFill>
              <a:latin typeface="Aptos Narrow"/>
            </a:rPr>
            <a:pPr/>
            <a:t> 2,58,890.00 </a:t>
          </a:fld>
          <a:endParaRPr lang="en-IN" sz="1100" b="1">
            <a:solidFill>
              <a:schemeClr val="accent6">
                <a:lumMod val="75000"/>
              </a:schemeClr>
            </a:solidFill>
          </a:endParaRPr>
        </a:p>
      </xdr:txBody>
    </xdr:sp>
    <xdr:clientData/>
  </xdr:oneCellAnchor>
  <xdr:twoCellAnchor editAs="oneCell">
    <xdr:from>
      <xdr:col>13</xdr:col>
      <xdr:colOff>601916</xdr:colOff>
      <xdr:row>7</xdr:row>
      <xdr:rowOff>44824</xdr:rowOff>
    </xdr:from>
    <xdr:to>
      <xdr:col>14</xdr:col>
      <xdr:colOff>353596</xdr:colOff>
      <xdr:row>9</xdr:row>
      <xdr:rowOff>33429</xdr:rowOff>
    </xdr:to>
    <xdr:pic>
      <xdr:nvPicPr>
        <xdr:cNvPr id="57" name="Graphic 56" descr="Upward trend with solid fill">
          <a:extLst>
            <a:ext uri="{FF2B5EF4-FFF2-40B4-BE49-F238E27FC236}">
              <a16:creationId xmlns:a16="http://schemas.microsoft.com/office/drawing/2014/main" id="{34EF124B-94CA-A203-EB1B-25C0299D53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10067" y="1344706"/>
          <a:ext cx="360000" cy="360000"/>
        </a:xfrm>
        <a:prstGeom prst="rect">
          <a:avLst/>
        </a:prstGeom>
      </xdr:spPr>
    </xdr:pic>
    <xdr:clientData/>
  </xdr:twoCellAnchor>
  <xdr:twoCellAnchor editAs="oneCell">
    <xdr:from>
      <xdr:col>9</xdr:col>
      <xdr:colOff>38420</xdr:colOff>
      <xdr:row>7</xdr:row>
      <xdr:rowOff>12807</xdr:rowOff>
    </xdr:from>
    <xdr:to>
      <xdr:col>9</xdr:col>
      <xdr:colOff>398420</xdr:colOff>
      <xdr:row>9</xdr:row>
      <xdr:rowOff>1412</xdr:rowOff>
    </xdr:to>
    <xdr:pic>
      <xdr:nvPicPr>
        <xdr:cNvPr id="59" name="Graphic 58" descr="Coins with solid fill">
          <a:extLst>
            <a:ext uri="{FF2B5EF4-FFF2-40B4-BE49-F238E27FC236}">
              <a16:creationId xmlns:a16="http://schemas.microsoft.com/office/drawing/2014/main" id="{9803B9CF-F6B5-C981-ACD8-1B3F9FE84C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513294" y="1312689"/>
          <a:ext cx="360000" cy="360000"/>
        </a:xfrm>
        <a:prstGeom prst="rect">
          <a:avLst/>
        </a:prstGeom>
      </xdr:spPr>
    </xdr:pic>
    <xdr:clientData/>
  </xdr:twoCellAnchor>
  <xdr:twoCellAnchor editAs="oneCell">
    <xdr:from>
      <xdr:col>4</xdr:col>
      <xdr:colOff>473849</xdr:colOff>
      <xdr:row>7</xdr:row>
      <xdr:rowOff>19211</xdr:rowOff>
    </xdr:from>
    <xdr:to>
      <xdr:col>5</xdr:col>
      <xdr:colOff>225529</xdr:colOff>
      <xdr:row>9</xdr:row>
      <xdr:rowOff>7816</xdr:rowOff>
    </xdr:to>
    <xdr:pic>
      <xdr:nvPicPr>
        <xdr:cNvPr id="61" name="Graphic 60" descr="Connections with solid fill">
          <a:extLst>
            <a:ext uri="{FF2B5EF4-FFF2-40B4-BE49-F238E27FC236}">
              <a16:creationId xmlns:a16="http://schemas.microsoft.com/office/drawing/2014/main" id="{10B73F2D-2C43-C65A-534A-0B310B08054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907126" y="1319093"/>
          <a:ext cx="360000" cy="360000"/>
        </a:xfrm>
        <a:prstGeom prst="rect">
          <a:avLst/>
        </a:prstGeom>
      </xdr:spPr>
    </xdr:pic>
    <xdr:clientData/>
  </xdr:twoCellAnchor>
  <xdr:twoCellAnchor editAs="oneCell">
    <xdr:from>
      <xdr:col>0</xdr:col>
      <xdr:colOff>224118</xdr:colOff>
      <xdr:row>7</xdr:row>
      <xdr:rowOff>57631</xdr:rowOff>
    </xdr:from>
    <xdr:to>
      <xdr:col>0</xdr:col>
      <xdr:colOff>584118</xdr:colOff>
      <xdr:row>9</xdr:row>
      <xdr:rowOff>46236</xdr:rowOff>
    </xdr:to>
    <xdr:pic>
      <xdr:nvPicPr>
        <xdr:cNvPr id="63" name="Graphic 62" descr="Statistics with solid fill">
          <a:extLst>
            <a:ext uri="{FF2B5EF4-FFF2-40B4-BE49-F238E27FC236}">
              <a16:creationId xmlns:a16="http://schemas.microsoft.com/office/drawing/2014/main" id="{1985F8CF-9B66-B2DE-6464-7F6401D72EE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4118" y="1357513"/>
          <a:ext cx="360000" cy="360000"/>
        </a:xfrm>
        <a:prstGeom prst="rect">
          <a:avLst/>
        </a:prstGeom>
      </xdr:spPr>
    </xdr:pic>
    <xdr:clientData/>
  </xdr:twoCellAnchor>
  <xdr:oneCellAnchor>
    <xdr:from>
      <xdr:col>8</xdr:col>
      <xdr:colOff>423334</xdr:colOff>
      <xdr:row>1</xdr:row>
      <xdr:rowOff>44823</xdr:rowOff>
    </xdr:from>
    <xdr:ext cx="3168952" cy="381708"/>
    <xdr:sp macro="" textlink="">
      <xdr:nvSpPr>
        <xdr:cNvPr id="64" name="TextBox 63">
          <a:extLst>
            <a:ext uri="{FF2B5EF4-FFF2-40B4-BE49-F238E27FC236}">
              <a16:creationId xmlns:a16="http://schemas.microsoft.com/office/drawing/2014/main" id="{20ABC05A-1F16-80C6-1D69-A9FC2CDAF55E}"/>
            </a:ext>
          </a:extLst>
        </xdr:cNvPr>
        <xdr:cNvSpPr txBox="1"/>
      </xdr:nvSpPr>
      <xdr:spPr>
        <a:xfrm>
          <a:off x="5261429" y="226252"/>
          <a:ext cx="3168952"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accent6">
                  <a:lumMod val="75000"/>
                </a:schemeClr>
              </a:solidFill>
              <a:latin typeface="Arial Black" panose="020B0A04020102020204" pitchFamily="34" charset="0"/>
              <a:cs typeface="Times New Roman" panose="02020603050405020304" pitchFamily="18" charset="0"/>
            </a:rPr>
            <a:t>Sales Dashboard-2026</a:t>
          </a:r>
        </a:p>
      </xdr:txBody>
    </xdr:sp>
    <xdr:clientData/>
  </xdr:oneCellAnchor>
  <xdr:twoCellAnchor editAs="oneCell">
    <xdr:from>
      <xdr:col>7</xdr:col>
      <xdr:colOff>302381</xdr:colOff>
      <xdr:row>0</xdr:row>
      <xdr:rowOff>169333</xdr:rowOff>
    </xdr:from>
    <xdr:to>
      <xdr:col>8</xdr:col>
      <xdr:colOff>314476</xdr:colOff>
      <xdr:row>4</xdr:row>
      <xdr:rowOff>60476</xdr:rowOff>
    </xdr:to>
    <xdr:pic>
      <xdr:nvPicPr>
        <xdr:cNvPr id="3" name="Graphic 2" descr="Pie chart with solid fill">
          <a:extLst>
            <a:ext uri="{FF2B5EF4-FFF2-40B4-BE49-F238E27FC236}">
              <a16:creationId xmlns:a16="http://schemas.microsoft.com/office/drawing/2014/main" id="{80312A13-BADA-1D6F-BCA3-1D85B3C72FC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535714" y="169333"/>
          <a:ext cx="616857" cy="616857"/>
        </a:xfrm>
        <a:prstGeom prst="rect">
          <a:avLst/>
        </a:prstGeom>
      </xdr:spPr>
    </xdr:pic>
    <xdr:clientData/>
  </xdr:twoCellAnchor>
  <xdr:twoCellAnchor editAs="oneCell">
    <xdr:from>
      <xdr:col>17</xdr:col>
      <xdr:colOff>495906</xdr:colOff>
      <xdr:row>6</xdr:row>
      <xdr:rowOff>72571</xdr:rowOff>
    </xdr:from>
    <xdr:to>
      <xdr:col>22</xdr:col>
      <xdr:colOff>193524</xdr:colOff>
      <xdr:row>10</xdr:row>
      <xdr:rowOff>59143</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E9489F36-096C-43C1-8B1B-BA4027B3E51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931073" y="1152071"/>
              <a:ext cx="2766784" cy="706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84665</xdr:colOff>
      <xdr:row>11</xdr:row>
      <xdr:rowOff>48380</xdr:rowOff>
    </xdr:from>
    <xdr:to>
      <xdr:col>3</xdr:col>
      <xdr:colOff>435428</xdr:colOff>
      <xdr:row>28</xdr:row>
      <xdr:rowOff>0</xdr:rowOff>
    </xdr:to>
    <mc:AlternateContent xmlns:mc="http://schemas.openxmlformats.org/markup-compatibility/2006" xmlns:a14="http://schemas.microsoft.com/office/drawing/2010/main">
      <mc:Choice Requires="a14">
        <xdr:graphicFrame macro="">
          <xdr:nvGraphicFramePr>
            <xdr:cNvPr id="18" name="Sales Person 1">
              <a:extLst>
                <a:ext uri="{FF2B5EF4-FFF2-40B4-BE49-F238E27FC236}">
                  <a16:creationId xmlns:a16="http://schemas.microsoft.com/office/drawing/2014/main" id="{76E9EDDF-8F1D-42F8-B90C-96BC789C234B}"/>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84665" y="2027463"/>
              <a:ext cx="2192263" cy="3010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36286</xdr:colOff>
      <xdr:row>28</xdr:row>
      <xdr:rowOff>108858</xdr:rowOff>
    </xdr:from>
    <xdr:to>
      <xdr:col>3</xdr:col>
      <xdr:colOff>435428</xdr:colOff>
      <xdr:row>47</xdr:row>
      <xdr:rowOff>60476</xdr:rowOff>
    </xdr:to>
    <mc:AlternateContent xmlns:mc="http://schemas.openxmlformats.org/markup-compatibility/2006" xmlns:a14="http://schemas.microsoft.com/office/drawing/2010/main">
      <mc:Choice Requires="a14">
        <xdr:graphicFrame macro="">
          <xdr:nvGraphicFramePr>
            <xdr:cNvPr id="19" name="Product 1">
              <a:extLst>
                <a:ext uri="{FF2B5EF4-FFF2-40B4-BE49-F238E27FC236}">
                  <a16:creationId xmlns:a16="http://schemas.microsoft.com/office/drawing/2014/main" id="{83DA1B40-1B22-44D8-A959-B78800E8E0C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6286" y="5146525"/>
              <a:ext cx="2240642" cy="3370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556380</xdr:colOff>
      <xdr:row>11</xdr:row>
      <xdr:rowOff>24190</xdr:rowOff>
    </xdr:from>
    <xdr:to>
      <xdr:col>13</xdr:col>
      <xdr:colOff>571500</xdr:colOff>
      <xdr:row>31</xdr:row>
      <xdr:rowOff>157237</xdr:rowOff>
    </xdr:to>
    <xdr:sp macro="" textlink="">
      <xdr:nvSpPr>
        <xdr:cNvPr id="20" name="Rectangle: Rounded Corners 19">
          <a:extLst>
            <a:ext uri="{FF2B5EF4-FFF2-40B4-BE49-F238E27FC236}">
              <a16:creationId xmlns:a16="http://schemas.microsoft.com/office/drawing/2014/main" id="{5292CD0A-8596-4294-ABE4-81C1EBDA40DA}"/>
            </a:ext>
          </a:extLst>
        </xdr:cNvPr>
        <xdr:cNvSpPr/>
      </xdr:nvSpPr>
      <xdr:spPr>
        <a:xfrm>
          <a:off x="2397880" y="2003273"/>
          <a:ext cx="6153453" cy="3731381"/>
        </a:xfrm>
        <a:prstGeom prst="roundRect">
          <a:avLst>
            <a:gd name="adj" fmla="val 13334"/>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6">
                  <a:lumMod val="75000"/>
                </a:schemeClr>
              </a:solidFill>
            </a:rPr>
            <a:t>Unit Sold by Product</a:t>
          </a:r>
        </a:p>
      </xdr:txBody>
    </xdr:sp>
    <xdr:clientData/>
  </xdr:twoCellAnchor>
  <xdr:twoCellAnchor>
    <xdr:from>
      <xdr:col>4</xdr:col>
      <xdr:colOff>349250</xdr:colOff>
      <xdr:row>13</xdr:row>
      <xdr:rowOff>146654</xdr:rowOff>
    </xdr:from>
    <xdr:to>
      <xdr:col>12</xdr:col>
      <xdr:colOff>539750</xdr:colOff>
      <xdr:row>29</xdr:row>
      <xdr:rowOff>127000</xdr:rowOff>
    </xdr:to>
    <xdr:graphicFrame macro="">
      <xdr:nvGraphicFramePr>
        <xdr:cNvPr id="21" name="Chart 20">
          <a:extLst>
            <a:ext uri="{FF2B5EF4-FFF2-40B4-BE49-F238E27FC236}">
              <a16:creationId xmlns:a16="http://schemas.microsoft.com/office/drawing/2014/main" id="{9E3CB2FF-F8E5-4BBE-B1C9-A9EFC4F6D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63502</xdr:colOff>
      <xdr:row>11</xdr:row>
      <xdr:rowOff>21168</xdr:rowOff>
    </xdr:from>
    <xdr:to>
      <xdr:col>22</xdr:col>
      <xdr:colOff>264584</xdr:colOff>
      <xdr:row>31</xdr:row>
      <xdr:rowOff>105834</xdr:rowOff>
    </xdr:to>
    <xdr:sp macro="" textlink="">
      <xdr:nvSpPr>
        <xdr:cNvPr id="22" name="Rectangle: Rounded Corners 21">
          <a:extLst>
            <a:ext uri="{FF2B5EF4-FFF2-40B4-BE49-F238E27FC236}">
              <a16:creationId xmlns:a16="http://schemas.microsoft.com/office/drawing/2014/main" id="{97C3A37B-DC63-4102-855D-C31FE50DE651}"/>
            </a:ext>
          </a:extLst>
        </xdr:cNvPr>
        <xdr:cNvSpPr/>
      </xdr:nvSpPr>
      <xdr:spPr>
        <a:xfrm>
          <a:off x="8657169" y="2000251"/>
          <a:ext cx="5111748" cy="3683000"/>
        </a:xfrm>
        <a:prstGeom prst="roundRect">
          <a:avLst>
            <a:gd name="adj" fmla="val 13334"/>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6">
                  <a:lumMod val="75000"/>
                </a:schemeClr>
              </a:solidFill>
            </a:rPr>
            <a:t>Total</a:t>
          </a:r>
          <a:r>
            <a:rPr lang="en-IN" sz="1400" b="1" baseline="0">
              <a:solidFill>
                <a:schemeClr val="accent6">
                  <a:lumMod val="75000"/>
                </a:schemeClr>
              </a:solidFill>
            </a:rPr>
            <a:t> Sales By Region</a:t>
          </a:r>
          <a:endParaRPr lang="en-IN" sz="1400" b="1">
            <a:solidFill>
              <a:schemeClr val="accent6">
                <a:lumMod val="75000"/>
              </a:schemeClr>
            </a:solidFill>
          </a:endParaRPr>
        </a:p>
      </xdr:txBody>
    </xdr:sp>
    <xdr:clientData/>
  </xdr:twoCellAnchor>
  <xdr:twoCellAnchor>
    <xdr:from>
      <xdr:col>4</xdr:col>
      <xdr:colOff>74084</xdr:colOff>
      <xdr:row>32</xdr:row>
      <xdr:rowOff>105833</xdr:rowOff>
    </xdr:from>
    <xdr:to>
      <xdr:col>13</xdr:col>
      <xdr:colOff>476251</xdr:colOff>
      <xdr:row>51</xdr:row>
      <xdr:rowOff>42333</xdr:rowOff>
    </xdr:to>
    <xdr:sp macro="" textlink="">
      <xdr:nvSpPr>
        <xdr:cNvPr id="25" name="Rectangle: Rounded Corners 24">
          <a:extLst>
            <a:ext uri="{FF2B5EF4-FFF2-40B4-BE49-F238E27FC236}">
              <a16:creationId xmlns:a16="http://schemas.microsoft.com/office/drawing/2014/main" id="{00CCD4CC-89FF-4C60-A037-788AA15C43B9}"/>
            </a:ext>
          </a:extLst>
        </xdr:cNvPr>
        <xdr:cNvSpPr/>
      </xdr:nvSpPr>
      <xdr:spPr>
        <a:xfrm>
          <a:off x="2529417" y="5863166"/>
          <a:ext cx="5926667" cy="3354917"/>
        </a:xfrm>
        <a:prstGeom prst="roundRect">
          <a:avLst>
            <a:gd name="adj" fmla="val 13334"/>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6">
                  <a:lumMod val="75000"/>
                </a:schemeClr>
              </a:solidFill>
            </a:rPr>
            <a:t>Total</a:t>
          </a:r>
          <a:r>
            <a:rPr lang="en-IN" sz="1400" b="1" baseline="0">
              <a:solidFill>
                <a:schemeClr val="accent6">
                  <a:lumMod val="75000"/>
                </a:schemeClr>
              </a:solidFill>
            </a:rPr>
            <a:t> Sales by Product</a:t>
          </a:r>
          <a:endParaRPr lang="en-IN" sz="1400" b="1">
            <a:solidFill>
              <a:schemeClr val="accent6">
                <a:lumMod val="75000"/>
              </a:schemeClr>
            </a:solidFill>
          </a:endParaRPr>
        </a:p>
      </xdr:txBody>
    </xdr:sp>
    <xdr:clientData/>
  </xdr:twoCellAnchor>
  <xdr:twoCellAnchor>
    <xdr:from>
      <xdr:col>14</xdr:col>
      <xdr:colOff>-1</xdr:colOff>
      <xdr:row>32</xdr:row>
      <xdr:rowOff>42336</xdr:rowOff>
    </xdr:from>
    <xdr:to>
      <xdr:col>22</xdr:col>
      <xdr:colOff>359833</xdr:colOff>
      <xdr:row>51</xdr:row>
      <xdr:rowOff>2</xdr:rowOff>
    </xdr:to>
    <xdr:sp macro="" textlink="">
      <xdr:nvSpPr>
        <xdr:cNvPr id="31" name="Rectangle: Rounded Corners 30">
          <a:extLst>
            <a:ext uri="{FF2B5EF4-FFF2-40B4-BE49-F238E27FC236}">
              <a16:creationId xmlns:a16="http://schemas.microsoft.com/office/drawing/2014/main" id="{8503F89D-B18C-47B1-BB69-AF0448F3CF59}"/>
            </a:ext>
          </a:extLst>
        </xdr:cNvPr>
        <xdr:cNvSpPr/>
      </xdr:nvSpPr>
      <xdr:spPr>
        <a:xfrm>
          <a:off x="8593666" y="5799669"/>
          <a:ext cx="5270500" cy="3376083"/>
        </a:xfrm>
        <a:prstGeom prst="roundRect">
          <a:avLst>
            <a:gd name="adj" fmla="val 13334"/>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6">
                  <a:lumMod val="75000"/>
                </a:schemeClr>
              </a:solidFill>
            </a:rPr>
            <a:t>Total</a:t>
          </a:r>
          <a:r>
            <a:rPr lang="en-IN" sz="1400" b="1" baseline="0">
              <a:solidFill>
                <a:schemeClr val="accent6">
                  <a:lumMod val="75000"/>
                </a:schemeClr>
              </a:solidFill>
            </a:rPr>
            <a:t> Sales By Region</a:t>
          </a:r>
          <a:endParaRPr lang="en-IN" sz="1400" b="1">
            <a:solidFill>
              <a:schemeClr val="accent6">
                <a:lumMod val="75000"/>
              </a:schemeClr>
            </a:solidFill>
          </a:endParaRPr>
        </a:p>
      </xdr:txBody>
    </xdr:sp>
    <xdr:clientData/>
  </xdr:twoCellAnchor>
  <xdr:twoCellAnchor>
    <xdr:from>
      <xdr:col>14</xdr:col>
      <xdr:colOff>370416</xdr:colOff>
      <xdr:row>13</xdr:row>
      <xdr:rowOff>169333</xdr:rowOff>
    </xdr:from>
    <xdr:to>
      <xdr:col>21</xdr:col>
      <xdr:colOff>370417</xdr:colOff>
      <xdr:row>30</xdr:row>
      <xdr:rowOff>158750</xdr:rowOff>
    </xdr:to>
    <xdr:graphicFrame macro="">
      <xdr:nvGraphicFramePr>
        <xdr:cNvPr id="34" name="Chart 33">
          <a:extLst>
            <a:ext uri="{FF2B5EF4-FFF2-40B4-BE49-F238E27FC236}">
              <a16:creationId xmlns:a16="http://schemas.microsoft.com/office/drawing/2014/main" id="{DECEB60F-A663-45E5-89BA-9BBD68123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127000</xdr:colOff>
      <xdr:row>34</xdr:row>
      <xdr:rowOff>169333</xdr:rowOff>
    </xdr:from>
    <xdr:to>
      <xdr:col>12</xdr:col>
      <xdr:colOff>433917</xdr:colOff>
      <xdr:row>50</xdr:row>
      <xdr:rowOff>0</xdr:rowOff>
    </xdr:to>
    <xdr:graphicFrame macro="">
      <xdr:nvGraphicFramePr>
        <xdr:cNvPr id="35" name="Chart 34">
          <a:extLst>
            <a:ext uri="{FF2B5EF4-FFF2-40B4-BE49-F238E27FC236}">
              <a16:creationId xmlns:a16="http://schemas.microsoft.com/office/drawing/2014/main" id="{01D989EA-9502-4745-868C-FA94F5E5E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137585</xdr:colOff>
      <xdr:row>34</xdr:row>
      <xdr:rowOff>137583</xdr:rowOff>
    </xdr:from>
    <xdr:to>
      <xdr:col>22</xdr:col>
      <xdr:colOff>169335</xdr:colOff>
      <xdr:row>50</xdr:row>
      <xdr:rowOff>31750</xdr:rowOff>
    </xdr:to>
    <xdr:graphicFrame macro="">
      <xdr:nvGraphicFramePr>
        <xdr:cNvPr id="36" name="Chart 35">
          <a:extLst>
            <a:ext uri="{FF2B5EF4-FFF2-40B4-BE49-F238E27FC236}">
              <a16:creationId xmlns:a16="http://schemas.microsoft.com/office/drawing/2014/main" id="{C96FC9F4-5E8B-4FC2-9850-7E21FF481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525780</xdr:colOff>
      <xdr:row>29</xdr:row>
      <xdr:rowOff>80010</xdr:rowOff>
    </xdr:from>
    <xdr:to>
      <xdr:col>6</xdr:col>
      <xdr:colOff>407670</xdr:colOff>
      <xdr:row>44</xdr:row>
      <xdr:rowOff>80010</xdr:rowOff>
    </xdr:to>
    <xdr:graphicFrame macro="">
      <xdr:nvGraphicFramePr>
        <xdr:cNvPr id="2" name="Chart 1">
          <a:extLst>
            <a:ext uri="{FF2B5EF4-FFF2-40B4-BE49-F238E27FC236}">
              <a16:creationId xmlns:a16="http://schemas.microsoft.com/office/drawing/2014/main" id="{E8B9B100-9F53-1119-9BEF-B785924FD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209550</xdr:colOff>
      <xdr:row>27</xdr:row>
      <xdr:rowOff>45720</xdr:rowOff>
    </xdr:from>
    <xdr:to>
      <xdr:col>13</xdr:col>
      <xdr:colOff>922020</xdr:colOff>
      <xdr:row>43</xdr:row>
      <xdr:rowOff>163830</xdr:rowOff>
    </xdr:to>
    <xdr:graphicFrame macro="">
      <xdr:nvGraphicFramePr>
        <xdr:cNvPr id="4" name="Chart 3">
          <a:extLst>
            <a:ext uri="{FF2B5EF4-FFF2-40B4-BE49-F238E27FC236}">
              <a16:creationId xmlns:a16="http://schemas.microsoft.com/office/drawing/2014/main" id="{2EFBC5E8-1A7A-5568-03CB-B5C942707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697230</xdr:colOff>
      <xdr:row>17</xdr:row>
      <xdr:rowOff>129540</xdr:rowOff>
    </xdr:from>
    <xdr:to>
      <xdr:col>20</xdr:col>
      <xdr:colOff>266700</xdr:colOff>
      <xdr:row>32</xdr:row>
      <xdr:rowOff>167640</xdr:rowOff>
    </xdr:to>
    <xdr:graphicFrame macro="">
      <xdr:nvGraphicFramePr>
        <xdr:cNvPr id="5" name="Chart 4">
          <a:extLst>
            <a:ext uri="{FF2B5EF4-FFF2-40B4-BE49-F238E27FC236}">
              <a16:creationId xmlns:a16="http://schemas.microsoft.com/office/drawing/2014/main" id="{912B59C6-1E68-DF2C-34E9-C67315610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346710</xdr:colOff>
      <xdr:row>33</xdr:row>
      <xdr:rowOff>49530</xdr:rowOff>
    </xdr:from>
    <xdr:to>
      <xdr:col>20</xdr:col>
      <xdr:colOff>194310</xdr:colOff>
      <xdr:row>48</xdr:row>
      <xdr:rowOff>49530</xdr:rowOff>
    </xdr:to>
    <xdr:graphicFrame macro="">
      <xdr:nvGraphicFramePr>
        <xdr:cNvPr id="6" name="Chart 5">
          <a:extLst>
            <a:ext uri="{FF2B5EF4-FFF2-40B4-BE49-F238E27FC236}">
              <a16:creationId xmlns:a16="http://schemas.microsoft.com/office/drawing/2014/main" id="{995731CA-A24B-EE6E-5D40-6BAA05F8B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426720</xdr:colOff>
      <xdr:row>11</xdr:row>
      <xdr:rowOff>83821</xdr:rowOff>
    </xdr:from>
    <xdr:to>
      <xdr:col>1</xdr:col>
      <xdr:colOff>954077</xdr:colOff>
      <xdr:row>15</xdr:row>
      <xdr:rowOff>137161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FCCB918F-3D10-6A97-2039-AC2A9552DEB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26720" y="2107062"/>
              <a:ext cx="1828012" cy="789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815340</xdr:colOff>
      <xdr:row>9</xdr:row>
      <xdr:rowOff>137160</xdr:rowOff>
    </xdr:from>
    <xdr:to>
      <xdr:col>5</xdr:col>
      <xdr:colOff>1337442</xdr:colOff>
      <xdr:row>23</xdr:row>
      <xdr:rowOff>158115</xdr:rowOff>
    </xdr:to>
    <mc:AlternateContent xmlns:mc="http://schemas.openxmlformats.org/markup-compatibility/2006" xmlns:a14="http://schemas.microsoft.com/office/drawing/2010/main">
      <mc:Choice Requires="a14">
        <xdr:graphicFrame macro="">
          <xdr:nvGraphicFramePr>
            <xdr:cNvPr id="10" name="Sales Person">
              <a:extLst>
                <a:ext uri="{FF2B5EF4-FFF2-40B4-BE49-F238E27FC236}">
                  <a16:creationId xmlns:a16="http://schemas.microsoft.com/office/drawing/2014/main" id="{041F47FE-CA2F-0590-5595-AFF4B6289251}"/>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3981581" y="1792539"/>
              <a:ext cx="1822757" cy="2595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922020</xdr:colOff>
      <xdr:row>10</xdr:row>
      <xdr:rowOff>106680</xdr:rowOff>
    </xdr:from>
    <xdr:to>
      <xdr:col>3</xdr:col>
      <xdr:colOff>452995</xdr:colOff>
      <xdr:row>24</xdr:row>
      <xdr:rowOff>127635</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D19285F8-5BF6-0E98-D0D0-F4473ABA56E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775986" y="1945990"/>
              <a:ext cx="1816975" cy="2595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NITHI V" refreshedDate="46089.816290740739" createdVersion="8" refreshedVersion="8" minRefreshableVersion="3" recordCount="50" xr:uid="{56427FFD-E1F4-4814-9D01-DB259D6465D0}">
  <cacheSource type="worksheet">
    <worksheetSource name="Table1"/>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12">
        <s v="Tent"/>
        <s v="Blender"/>
        <s v="Action Figure"/>
        <s v="Novel"/>
        <s v="Sneakers"/>
        <s v="Moisturizer"/>
        <s v="Smartphone"/>
        <s v="Formula1" f="1"/>
        <s v="Formula2" f="1"/>
        <s v="Formula3" f="1"/>
        <s v="Formula4" f="1"/>
        <s v="Formula5" f="1"/>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s>
  <calculatedItems count="5">
    <calculatedItem>
      <pivotArea cacheIndex="1" outline="0" fieldPosition="0">
        <references count="1">
          <reference field="3" count="1">
            <x v="7"/>
          </reference>
        </references>
      </pivotArea>
    </calculatedItem>
    <calculatedItem>
      <pivotArea cacheIndex="1" outline="0" fieldPosition="0">
        <references count="1">
          <reference field="3" count="1">
            <x v="8"/>
          </reference>
        </references>
      </pivotArea>
    </calculatedItem>
    <calculatedItem>
      <pivotArea cacheIndex="1" outline="0" fieldPosition="0">
        <references count="1">
          <reference field="3" count="1">
            <x v="9"/>
          </reference>
        </references>
      </pivotArea>
    </calculatedItem>
    <calculatedItem>
      <pivotArea cacheIndex="1" outline="0" fieldPosition="0">
        <references count="1">
          <reference field="3" count="1">
            <x v="10"/>
          </reference>
        </references>
      </pivotArea>
    </calculatedItem>
    <calculatedItem>
      <pivotArea cacheIndex="1" outline="0" fieldPosition="0">
        <references count="1">
          <reference field="3" count="1">
            <x v="11"/>
          </reference>
        </references>
      </pivotArea>
    </calculatedItem>
  </calculatedItems>
  <extLst>
    <ext xmlns:x14="http://schemas.microsoft.com/office/spreadsheetml/2009/9/main" uri="{725AE2AE-9491-48be-B2B4-4EB974FC3084}">
      <x14:pivotCacheDefinition pivotCacheId="4814694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n v="84"/>
    <n v="6000"/>
    <n v="4000"/>
    <n v="504000"/>
    <n v="168000"/>
  </r>
  <r>
    <d v="2021-09-07T00:00:00"/>
    <x v="1"/>
    <x v="1"/>
    <x v="1"/>
    <n v="128"/>
    <n v="3500"/>
    <n v="2500"/>
    <n v="448000"/>
    <n v="128000"/>
  </r>
  <r>
    <d v="2021-02-03T00:00:00"/>
    <x v="2"/>
    <x v="2"/>
    <x v="2"/>
    <n v="136"/>
    <n v="1200"/>
    <n v="800"/>
    <n v="163200"/>
    <n v="54400"/>
  </r>
  <r>
    <d v="2020-09-11T00:00:00"/>
    <x v="3"/>
    <x v="3"/>
    <x v="3"/>
    <n v="91"/>
    <n v="1000"/>
    <n v="700"/>
    <n v="91000"/>
    <n v="27300"/>
  </r>
  <r>
    <d v="2021-09-23T00:00:00"/>
    <x v="4"/>
    <x v="0"/>
    <x v="4"/>
    <n v="110"/>
    <n v="4000"/>
    <n v="3000"/>
    <n v="440000"/>
    <n v="110000"/>
  </r>
  <r>
    <d v="2020-10-01T00:00:00"/>
    <x v="5"/>
    <x v="1"/>
    <x v="2"/>
    <n v="51"/>
    <n v="1200"/>
    <n v="800"/>
    <n v="61200"/>
    <n v="20400"/>
  </r>
  <r>
    <d v="2021-08-05T00:00:00"/>
    <x v="6"/>
    <x v="3"/>
    <x v="3"/>
    <n v="78"/>
    <n v="1000"/>
    <n v="700"/>
    <n v="78000"/>
    <n v="23400"/>
  </r>
  <r>
    <d v="2020-11-06T00:00:00"/>
    <x v="7"/>
    <x v="2"/>
    <x v="0"/>
    <n v="146"/>
    <n v="6000"/>
    <n v="4000"/>
    <n v="876000"/>
    <n v="292000"/>
  </r>
  <r>
    <d v="2021-01-27T00:00:00"/>
    <x v="8"/>
    <x v="0"/>
    <x v="5"/>
    <n v="101"/>
    <n v="600"/>
    <n v="400"/>
    <n v="60600"/>
    <n v="20200"/>
  </r>
  <r>
    <d v="2021-09-03T00:00:00"/>
    <x v="9"/>
    <x v="2"/>
    <x v="0"/>
    <n v="52"/>
    <n v="6000"/>
    <n v="4000"/>
    <n v="312000"/>
    <n v="104000"/>
  </r>
  <r>
    <d v="2021-09-30T00:00:00"/>
    <x v="9"/>
    <x v="1"/>
    <x v="2"/>
    <n v="55"/>
    <n v="1200"/>
    <n v="800"/>
    <n v="66000"/>
    <n v="22000"/>
  </r>
  <r>
    <d v="2020-09-10T00:00:00"/>
    <x v="9"/>
    <x v="2"/>
    <x v="3"/>
    <n v="137"/>
    <n v="1000"/>
    <n v="700"/>
    <n v="137000"/>
    <n v="41100"/>
  </r>
  <r>
    <d v="2021-07-27T00:00:00"/>
    <x v="7"/>
    <x v="2"/>
    <x v="1"/>
    <n v="96"/>
    <n v="3500"/>
    <n v="2500"/>
    <n v="336000"/>
    <n v="96000"/>
  </r>
  <r>
    <d v="2020-10-09T00:00:00"/>
    <x v="8"/>
    <x v="1"/>
    <x v="4"/>
    <n v="52"/>
    <n v="4000"/>
    <n v="3000"/>
    <n v="208000"/>
    <n v="52000"/>
  </r>
  <r>
    <d v="2021-04-06T00:00:00"/>
    <x v="3"/>
    <x v="0"/>
    <x v="1"/>
    <n v="76"/>
    <n v="3500"/>
    <n v="2500"/>
    <n v="266000"/>
    <n v="76000"/>
  </r>
  <r>
    <d v="2021-06-15T00:00:00"/>
    <x v="1"/>
    <x v="3"/>
    <x v="4"/>
    <n v="145"/>
    <n v="4000"/>
    <n v="3000"/>
    <n v="580000"/>
    <n v="145000"/>
  </r>
  <r>
    <d v="2020-09-09T00:00:00"/>
    <x v="0"/>
    <x v="2"/>
    <x v="5"/>
    <n v="83"/>
    <n v="600"/>
    <n v="400"/>
    <n v="49800"/>
    <n v="16600"/>
  </r>
  <r>
    <d v="2021-08-13T00:00:00"/>
    <x v="4"/>
    <x v="2"/>
    <x v="3"/>
    <n v="91"/>
    <n v="1000"/>
    <n v="700"/>
    <n v="91000"/>
    <n v="27300"/>
  </r>
  <r>
    <d v="2020-08-27T00:00:00"/>
    <x v="5"/>
    <x v="0"/>
    <x v="6"/>
    <n v="108"/>
    <n v="10000"/>
    <n v="7000"/>
    <n v="1080000"/>
    <n v="324000"/>
  </r>
  <r>
    <d v="2021-04-07T00:00:00"/>
    <x v="2"/>
    <x v="3"/>
    <x v="4"/>
    <n v="144"/>
    <n v="4000"/>
    <n v="3000"/>
    <n v="576000"/>
    <n v="144000"/>
  </r>
  <r>
    <d v="2020-06-08T00:00:00"/>
    <x v="4"/>
    <x v="2"/>
    <x v="5"/>
    <n v="92"/>
    <n v="600"/>
    <n v="400"/>
    <n v="55200"/>
    <n v="18400"/>
  </r>
  <r>
    <d v="2021-12-21T00:00:00"/>
    <x v="7"/>
    <x v="0"/>
    <x v="0"/>
    <n v="71"/>
    <n v="6000"/>
    <n v="4000"/>
    <n v="426000"/>
    <n v="142000"/>
  </r>
  <r>
    <d v="2021-08-10T00:00:00"/>
    <x v="0"/>
    <x v="1"/>
    <x v="5"/>
    <n v="103"/>
    <n v="600"/>
    <n v="400"/>
    <n v="61800"/>
    <n v="20600"/>
  </r>
  <r>
    <d v="2021-12-02T00:00:00"/>
    <x v="9"/>
    <x v="3"/>
    <x v="3"/>
    <n v="55"/>
    <n v="1000"/>
    <n v="700"/>
    <n v="55000"/>
    <n v="16500"/>
  </r>
  <r>
    <d v="2021-08-30T00:00:00"/>
    <x v="5"/>
    <x v="1"/>
    <x v="4"/>
    <n v="93"/>
    <n v="4000"/>
    <n v="3000"/>
    <n v="372000"/>
    <n v="93000"/>
  </r>
  <r>
    <d v="2020-05-20T00:00:00"/>
    <x v="2"/>
    <x v="2"/>
    <x v="5"/>
    <n v="143"/>
    <n v="600"/>
    <n v="400"/>
    <n v="85800"/>
    <n v="28600"/>
  </r>
  <r>
    <d v="2021-09-13T00:00:00"/>
    <x v="6"/>
    <x v="0"/>
    <x v="1"/>
    <n v="143"/>
    <n v="3500"/>
    <n v="2500"/>
    <n v="500500"/>
    <n v="143000"/>
  </r>
  <r>
    <d v="2021-10-27T00:00:00"/>
    <x v="8"/>
    <x v="3"/>
    <x v="5"/>
    <n v="99"/>
    <n v="600"/>
    <n v="400"/>
    <n v="59400"/>
    <n v="19800"/>
  </r>
  <r>
    <d v="2020-12-22T00:00:00"/>
    <x v="3"/>
    <x v="0"/>
    <x v="3"/>
    <n v="120"/>
    <n v="1000"/>
    <n v="700"/>
    <n v="120000"/>
    <n v="36000"/>
  </r>
  <r>
    <d v="2021-07-28T00:00:00"/>
    <x v="1"/>
    <x v="2"/>
    <x v="1"/>
    <n v="66"/>
    <n v="3500"/>
    <n v="2500"/>
    <n v="231000"/>
    <n v="66000"/>
  </r>
  <r>
    <d v="2020-09-29T00:00:00"/>
    <x v="8"/>
    <x v="3"/>
    <x v="2"/>
    <n v="88"/>
    <n v="1200"/>
    <n v="800"/>
    <n v="105600"/>
    <n v="35200"/>
  </r>
  <r>
    <d v="2020-10-22T00:00:00"/>
    <x v="3"/>
    <x v="1"/>
    <x v="6"/>
    <n v="127"/>
    <n v="10000"/>
    <n v="7000"/>
    <n v="1270000"/>
    <n v="381000"/>
  </r>
  <r>
    <d v="2020-05-19T00:00:00"/>
    <x v="4"/>
    <x v="0"/>
    <x v="4"/>
    <n v="67"/>
    <n v="4000"/>
    <n v="3000"/>
    <n v="268000"/>
    <n v="67000"/>
  </r>
  <r>
    <d v="2021-12-06T00:00:00"/>
    <x v="1"/>
    <x v="1"/>
    <x v="2"/>
    <n v="67"/>
    <n v="1200"/>
    <n v="800"/>
    <n v="80400"/>
    <n v="26800"/>
  </r>
  <r>
    <d v="2020-08-26T00:00:00"/>
    <x v="9"/>
    <x v="2"/>
    <x v="3"/>
    <n v="149"/>
    <n v="1000"/>
    <n v="700"/>
    <n v="149000"/>
    <n v="44700"/>
  </r>
  <r>
    <d v="2021-07-01T00:00:00"/>
    <x v="4"/>
    <x v="3"/>
    <x v="5"/>
    <n v="104"/>
    <n v="600"/>
    <n v="400"/>
    <n v="62400"/>
    <n v="20800"/>
  </r>
  <r>
    <d v="2021-07-27T00:00:00"/>
    <x v="7"/>
    <x v="0"/>
    <x v="5"/>
    <n v="57"/>
    <n v="600"/>
    <n v="400"/>
    <n v="34200"/>
    <n v="11400"/>
  </r>
  <r>
    <d v="2020-10-05T00:00:00"/>
    <x v="2"/>
    <x v="1"/>
    <x v="5"/>
    <n v="90"/>
    <n v="600"/>
    <n v="400"/>
    <n v="54000"/>
    <n v="18000"/>
  </r>
  <r>
    <d v="2020-09-02T00:00:00"/>
    <x v="5"/>
    <x v="2"/>
    <x v="5"/>
    <n v="67"/>
    <n v="600"/>
    <n v="400"/>
    <n v="40200"/>
    <n v="13400"/>
  </r>
  <r>
    <d v="2021-09-02T00:00:00"/>
    <x v="0"/>
    <x v="3"/>
    <x v="4"/>
    <n v="127"/>
    <n v="4000"/>
    <n v="3000"/>
    <n v="508000"/>
    <n v="127000"/>
  </r>
  <r>
    <d v="2021-04-13T00:00:00"/>
    <x v="5"/>
    <x v="0"/>
    <x v="3"/>
    <n v="108"/>
    <n v="1000"/>
    <n v="700"/>
    <n v="108000"/>
    <n v="32400"/>
  </r>
  <r>
    <d v="2021-05-06T00:00:00"/>
    <x v="2"/>
    <x v="1"/>
    <x v="1"/>
    <n v="66"/>
    <n v="3500"/>
    <n v="2500"/>
    <n v="231000"/>
    <n v="66000"/>
  </r>
  <r>
    <d v="2021-01-15T00:00:00"/>
    <x v="0"/>
    <x v="3"/>
    <x v="0"/>
    <n v="78"/>
    <n v="6000"/>
    <n v="4000"/>
    <n v="468000"/>
    <n v="156000"/>
  </r>
  <r>
    <d v="2020-08-27T00:00:00"/>
    <x v="7"/>
    <x v="2"/>
    <x v="3"/>
    <n v="69"/>
    <n v="1000"/>
    <n v="700"/>
    <n v="69000"/>
    <n v="20700"/>
  </r>
  <r>
    <d v="2021-02-05T00:00:00"/>
    <x v="4"/>
    <x v="0"/>
    <x v="2"/>
    <n v="59"/>
    <n v="1200"/>
    <n v="800"/>
    <n v="70800"/>
    <n v="23600"/>
  </r>
  <r>
    <d v="2021-11-17T00:00:00"/>
    <x v="9"/>
    <x v="2"/>
    <x v="5"/>
    <n v="109"/>
    <n v="600"/>
    <n v="400"/>
    <n v="65400"/>
    <n v="21800"/>
  </r>
  <r>
    <d v="2020-12-28T00:00:00"/>
    <x v="8"/>
    <x v="1"/>
    <x v="4"/>
    <n v="61"/>
    <n v="4000"/>
    <n v="3000"/>
    <n v="244000"/>
    <n v="61000"/>
  </r>
  <r>
    <d v="2021-10-27T00:00:00"/>
    <x v="4"/>
    <x v="3"/>
    <x v="5"/>
    <n v="130"/>
    <n v="600"/>
    <n v="400"/>
    <n v="78000"/>
    <n v="26000"/>
  </r>
  <r>
    <d v="2021-11-02T00:00:00"/>
    <x v="3"/>
    <x v="2"/>
    <x v="1"/>
    <n v="60"/>
    <n v="3500"/>
    <n v="2500"/>
    <n v="210000"/>
    <n v="60000"/>
  </r>
  <r>
    <d v="2020-05-07T00:00:00"/>
    <x v="1"/>
    <x v="1"/>
    <x v="0"/>
    <n v="73"/>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BA6A61-A941-4B69-B7BE-A611B9F5431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3:J11"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h="1" x="1"/>
        <item h="1" x="3"/>
        <item h="1" x="2"/>
        <item x="0"/>
        <item t="default"/>
      </items>
    </pivotField>
    <pivotField showAll="0">
      <items count="13">
        <item x="2"/>
        <item x="1"/>
        <item x="5"/>
        <item x="3"/>
        <item x="6"/>
        <item x="4"/>
        <item x="0"/>
        <item f="1" x="7"/>
        <item f="1" x="8"/>
        <item f="1" x="9"/>
        <item f="1" x="10"/>
        <item f="1" x="11"/>
        <item t="default"/>
      </items>
    </pivotField>
    <pivotField showAll="0"/>
    <pivotField numFmtId="164" showAll="0"/>
    <pivotField numFmtId="164" showAll="0"/>
    <pivotField dataField="1" numFmtId="164" showAll="0"/>
    <pivotField numFmtId="164" showAll="0"/>
  </pivotFields>
  <rowFields count="1">
    <field x="1"/>
  </rowFields>
  <rowItems count="8">
    <i>
      <x/>
    </i>
    <i>
      <x v="1"/>
    </i>
    <i>
      <x v="2"/>
    </i>
    <i>
      <x v="3"/>
    </i>
    <i>
      <x v="4"/>
    </i>
    <i>
      <x v="7"/>
    </i>
    <i>
      <x v="9"/>
    </i>
    <i t="grand">
      <x/>
    </i>
  </rowItems>
  <colItems count="1">
    <i/>
  </colItems>
  <dataFields count="1">
    <dataField name="Sum of Total Sales" fld="7" baseField="1" baseItem="0" numFmtId="166"/>
  </dataFields>
  <chartFormats count="2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6"/>
          </reference>
        </references>
      </pivotArea>
    </chartFormat>
    <chartFormat chart="1" format="2">
      <pivotArea type="data" outline="0" fieldPosition="0">
        <references count="2">
          <reference field="4294967294" count="1" selected="0">
            <x v="0"/>
          </reference>
          <reference field="1" count="1" selected="0">
            <x v="4"/>
          </reference>
        </references>
      </pivotArea>
    </chartFormat>
    <chartFormat chart="1" format="3">
      <pivotArea type="data" outline="0" fieldPosition="0">
        <references count="2">
          <reference field="4294967294" count="1" selected="0">
            <x v="0"/>
          </reference>
          <reference field="1" count="1" selected="0">
            <x v="5"/>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3"/>
          </reference>
        </references>
      </pivotArea>
    </chartFormat>
    <chartFormat chart="6" format="7">
      <pivotArea type="data" outline="0" fieldPosition="0">
        <references count="2">
          <reference field="4294967294" count="1" selected="0">
            <x v="0"/>
          </reference>
          <reference field="1" count="1" selected="0">
            <x v="4"/>
          </reference>
        </references>
      </pivotArea>
    </chartFormat>
    <chartFormat chart="6" format="8">
      <pivotArea type="data" outline="0" fieldPosition="0">
        <references count="2">
          <reference field="4294967294" count="1" selected="0">
            <x v="0"/>
          </reference>
          <reference field="1" count="1" selected="0">
            <x v="5"/>
          </reference>
        </references>
      </pivotArea>
    </chartFormat>
    <chartFormat chart="6" format="9">
      <pivotArea type="data" outline="0" fieldPosition="0">
        <references count="2">
          <reference field="4294967294" count="1" selected="0">
            <x v="0"/>
          </reference>
          <reference field="1" count="1" selected="0">
            <x v="6"/>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 count="1" selected="0">
            <x v="3"/>
          </reference>
        </references>
      </pivotArea>
    </chartFormat>
    <chartFormat chart="7" format="12">
      <pivotArea type="data" outline="0" fieldPosition="0">
        <references count="2">
          <reference field="4294967294" count="1" selected="0">
            <x v="0"/>
          </reference>
          <reference field="1" count="1" selected="0">
            <x v="4"/>
          </reference>
        </references>
      </pivotArea>
    </chartFormat>
    <chartFormat chart="7" format="13">
      <pivotArea type="data" outline="0" fieldPosition="0">
        <references count="2">
          <reference field="4294967294" count="1" selected="0">
            <x v="0"/>
          </reference>
          <reference field="1" count="1" selected="0">
            <x v="5"/>
          </reference>
        </references>
      </pivotArea>
    </chartFormat>
    <chartFormat chart="7" format="14">
      <pivotArea type="data" outline="0" fieldPosition="0">
        <references count="2">
          <reference field="4294967294" count="1" selected="0">
            <x v="0"/>
          </reference>
          <reference field="1" count="1" selected="0">
            <x v="6"/>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 count="1" selected="0">
            <x v="3"/>
          </reference>
        </references>
      </pivotArea>
    </chartFormat>
    <chartFormat chart="8" format="12">
      <pivotArea type="data" outline="0" fieldPosition="0">
        <references count="2">
          <reference field="4294967294" count="1" selected="0">
            <x v="0"/>
          </reference>
          <reference field="1" count="1" selected="0">
            <x v="4"/>
          </reference>
        </references>
      </pivotArea>
    </chartFormat>
    <chartFormat chart="8" format="13">
      <pivotArea type="data" outline="0" fieldPosition="0">
        <references count="2">
          <reference field="4294967294" count="1" selected="0">
            <x v="0"/>
          </reference>
          <reference field="1" count="1" selected="0">
            <x v="5"/>
          </reference>
        </references>
      </pivotArea>
    </chartFormat>
    <chartFormat chart="8" format="14">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F110F0-EA89-404B-9B05-3264B6C342D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3:F16" firstHeaderRow="1" firstDataRow="1" firstDataCol="1"/>
  <pivotFields count="9">
    <pivotField numFmtId="14" showAll="0"/>
    <pivotField showAll="0">
      <items count="11">
        <item x="0"/>
        <item x="8"/>
        <item x="3"/>
        <item x="5"/>
        <item x="7"/>
        <item x="2"/>
        <item x="1"/>
        <item x="4"/>
        <item x="9"/>
        <item x="6"/>
        <item t="default"/>
      </items>
    </pivotField>
    <pivotField showAll="0">
      <items count="5">
        <item h="1" x="1"/>
        <item h="1" x="3"/>
        <item h="1" x="2"/>
        <item x="0"/>
        <item t="default"/>
      </items>
    </pivotField>
    <pivotField axis="axisRow" showAll="0">
      <items count="13">
        <item x="2"/>
        <item x="1"/>
        <item x="5"/>
        <item x="3"/>
        <item x="6"/>
        <item x="4"/>
        <item x="0"/>
        <item n="formula" f="1" x="7"/>
        <item f="1" x="10"/>
        <item f="1" x="11"/>
        <item f="1" x="8"/>
        <item f="1" x="9"/>
        <item t="default"/>
      </items>
    </pivotField>
    <pivotField showAll="0"/>
    <pivotField numFmtId="164" showAll="0"/>
    <pivotField numFmtId="164" showAll="0"/>
    <pivotField dataField="1" numFmtId="164" showAll="0"/>
    <pivotField numFmtId="164" showAll="0"/>
  </pivotFields>
  <rowFields count="1">
    <field x="3"/>
  </rowFields>
  <rowItems count="13">
    <i>
      <x/>
    </i>
    <i>
      <x v="1"/>
    </i>
    <i>
      <x v="2"/>
    </i>
    <i>
      <x v="3"/>
    </i>
    <i>
      <x v="4"/>
    </i>
    <i>
      <x v="5"/>
    </i>
    <i>
      <x v="6"/>
    </i>
    <i>
      <x v="7"/>
    </i>
    <i>
      <x v="8"/>
    </i>
    <i>
      <x v="9"/>
    </i>
    <i>
      <x v="10"/>
    </i>
    <i>
      <x v="11"/>
    </i>
    <i t="grand">
      <x/>
    </i>
  </rowItems>
  <colItems count="1">
    <i/>
  </colItems>
  <dataFields count="1">
    <dataField name="Sum of Total Sales" fld="7" baseField="3" baseItem="0" numFmtId="166"/>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3" count="1" selected="0">
            <x v="5"/>
          </reference>
        </references>
      </pivotArea>
    </chartFormat>
    <chartFormat chart="5" format="2">
      <pivotArea type="data" outline="0" fieldPosition="0">
        <references count="2">
          <reference field="4294967294" count="1" selected="0">
            <x v="0"/>
          </reference>
          <reference field="3" count="1" selected="0">
            <x v="6"/>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3" count="1" selected="0">
            <x v="5"/>
          </reference>
        </references>
      </pivotArea>
    </chartFormat>
    <chartFormat chart="12" format="8">
      <pivotArea type="data" outline="0" fieldPosition="0">
        <references count="2">
          <reference field="4294967294" count="1" selected="0">
            <x v="0"/>
          </reference>
          <reference field="3" count="1" selected="0">
            <x v="6"/>
          </reference>
        </references>
      </pivotArea>
    </chartFormat>
    <chartFormat chart="5" format="3">
      <pivotArea type="data" outline="0" fieldPosition="0">
        <references count="2">
          <reference field="4294967294" count="1" selected="0">
            <x v="0"/>
          </reference>
          <reference field="3" count="1" selected="0">
            <x v="9"/>
          </reference>
        </references>
      </pivotArea>
    </chartFormat>
    <chartFormat chart="5" format="4">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7103BA-B088-4F75-BA84-2DF23186CA8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 firstHeaderRow="1" firstDataRow="1" firstDataCol="1"/>
  <pivotFields count="9">
    <pivotField numFmtId="14" showAll="0"/>
    <pivotField showAll="0">
      <items count="11">
        <item x="0"/>
        <item x="8"/>
        <item x="3"/>
        <item x="5"/>
        <item x="7"/>
        <item x="2"/>
        <item x="1"/>
        <item x="4"/>
        <item x="9"/>
        <item x="6"/>
        <item t="default"/>
      </items>
    </pivotField>
    <pivotField axis="axisRow" showAll="0">
      <items count="5">
        <item h="1" x="1"/>
        <item h="1" x="3"/>
        <item h="1" x="2"/>
        <item x="0"/>
        <item t="default"/>
      </items>
    </pivotField>
    <pivotField showAll="0">
      <items count="13">
        <item x="2"/>
        <item x="1"/>
        <item x="5"/>
        <item x="3"/>
        <item x="6"/>
        <item x="4"/>
        <item x="0"/>
        <item f="1" x="7"/>
        <item f="1" x="8"/>
        <item f="1" x="9"/>
        <item f="1" x="10"/>
        <item f="1" x="11"/>
        <item t="default"/>
      </items>
    </pivotField>
    <pivotField showAll="0"/>
    <pivotField numFmtId="164" showAll="0"/>
    <pivotField numFmtId="164" showAll="0"/>
    <pivotField dataField="1" numFmtId="164" showAll="0"/>
    <pivotField numFmtId="164" showAll="0"/>
  </pivotFields>
  <rowFields count="1">
    <field x="2"/>
  </rowFields>
  <rowItems count="2">
    <i>
      <x v="3"/>
    </i>
    <i t="grand">
      <x/>
    </i>
  </rowItems>
  <colItems count="1">
    <i/>
  </colItems>
  <dataFields count="1">
    <dataField name="Sum of Total Sales" fld="7" baseField="2" baseItem="0" numFmtId="165"/>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3"/>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2" count="1" selected="0">
            <x v="0"/>
          </reference>
        </references>
      </pivotArea>
    </chartFormat>
    <chartFormat chart="7" format="12">
      <pivotArea type="data" outline="0" fieldPosition="0">
        <references count="2">
          <reference field="4294967294" count="1" selected="0">
            <x v="0"/>
          </reference>
          <reference field="2" count="1" selected="0">
            <x v="1"/>
          </reference>
        </references>
      </pivotArea>
    </chartFormat>
    <chartFormat chart="7" format="13">
      <pivotArea type="data" outline="0" fieldPosition="0">
        <references count="2">
          <reference field="4294967294" count="1" selected="0">
            <x v="0"/>
          </reference>
          <reference field="2" count="1" selected="0">
            <x v="2"/>
          </reference>
        </references>
      </pivotArea>
    </chartFormat>
    <chartFormat chart="7"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167E56-0E9D-4E87-A797-8D9287CCA81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3:N16" firstHeaderRow="1" firstDataRow="1" firstDataCol="1"/>
  <pivotFields count="9">
    <pivotField numFmtId="14" showAll="0"/>
    <pivotField showAll="0">
      <items count="11">
        <item x="0"/>
        <item x="8"/>
        <item x="3"/>
        <item x="5"/>
        <item x="7"/>
        <item x="2"/>
        <item x="1"/>
        <item x="4"/>
        <item x="9"/>
        <item x="6"/>
        <item t="default"/>
      </items>
    </pivotField>
    <pivotField showAll="0">
      <items count="5">
        <item h="1" x="1"/>
        <item h="1" x="3"/>
        <item h="1" x="2"/>
        <item x="0"/>
        <item t="default"/>
      </items>
    </pivotField>
    <pivotField axis="axisRow" showAll="0">
      <items count="13">
        <item x="2"/>
        <item x="1"/>
        <item x="5"/>
        <item x="3"/>
        <item x="6"/>
        <item x="4"/>
        <item x="0"/>
        <item f="1" x="7"/>
        <item f="1" x="8"/>
        <item f="1" x="9"/>
        <item f="1" x="10"/>
        <item f="1" x="11"/>
        <item t="default"/>
      </items>
    </pivotField>
    <pivotField dataField="1" showAll="0"/>
    <pivotField numFmtId="164" showAll="0"/>
    <pivotField numFmtId="164" showAll="0"/>
    <pivotField numFmtId="164" showAll="0"/>
    <pivotField numFmtId="164" showAll="0"/>
  </pivotFields>
  <rowFields count="1">
    <field x="3"/>
  </rowFields>
  <rowItems count="13">
    <i>
      <x/>
    </i>
    <i>
      <x v="1"/>
    </i>
    <i>
      <x v="2"/>
    </i>
    <i>
      <x v="3"/>
    </i>
    <i>
      <x v="4"/>
    </i>
    <i>
      <x v="5"/>
    </i>
    <i>
      <x v="6"/>
    </i>
    <i>
      <x v="7"/>
    </i>
    <i>
      <x v="8"/>
    </i>
    <i>
      <x v="9"/>
    </i>
    <i>
      <x v="10"/>
    </i>
    <i>
      <x v="11"/>
    </i>
    <i t="grand">
      <x/>
    </i>
  </rowItems>
  <colItems count="1">
    <i/>
  </colItems>
  <dataFields count="1">
    <dataField name="Sum of Units Sold" fld="4"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4"/>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20B8B26-01B6-496D-AA84-D9BFEB077FA4}" sourceName="Region">
  <pivotTables>
    <pivotTable tabId="4" name="PivotTable1"/>
    <pivotTable tabId="4" name="PivotTable3"/>
    <pivotTable tabId="4" name="PivotTable4"/>
    <pivotTable tabId="4" name="PivotTable5"/>
  </pivotTables>
  <data>
    <tabular pivotCacheId="481469453" customListSort="0">
      <items count="4">
        <i x="1"/>
        <i x="3"/>
        <i x="2"/>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A24B23B3-A241-4F0D-BDF8-12F9F65DB771}" sourceName="Sales Person">
  <pivotTables>
    <pivotTable tabId="4" name="PivotTable3"/>
    <pivotTable tabId="4" name="PivotTable1"/>
    <pivotTable tabId="4" name="PivotTable4"/>
    <pivotTable tabId="4" name="PivotTable5"/>
  </pivotTables>
  <data>
    <tabular pivotCacheId="481469453">
      <items count="10">
        <i x="0" s="1"/>
        <i x="8" s="1"/>
        <i x="3" s="1"/>
        <i x="5" s="1"/>
        <i x="7" s="1"/>
        <i x="2" s="1"/>
        <i x="1" s="1"/>
        <i x="4" s="1"/>
        <i x="9" s="1"/>
        <i x="6"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CEB621F-B93E-4167-89A8-9A3875A5789D}" sourceName="Product">
  <pivotTables>
    <pivotTable tabId="4" name="PivotTable3"/>
  </pivotTables>
  <data>
    <tabular pivotCacheId="481469453">
      <items count="12">
        <i x="2" s="1"/>
        <i x="1" s="1"/>
        <i x="7" s="1"/>
        <i x="8" s="1"/>
        <i x="9" s="1"/>
        <i x="10" s="1"/>
        <i x="11" s="1"/>
        <i x="5" s="1"/>
        <i x="3" s="1"/>
        <i x="6" s="1"/>
        <i x="4"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2534283-3376-45D6-AB4B-133C98EAD74C}" cache="Slicer_Region" caption="Region" columnCount="2" showCaption="0" style="SlicerStyleDark1" rowHeight="247650"/>
  <slicer name="Sales Person 1" xr10:uid="{93445246-9149-4F4D-9030-3BF5BB31F86E}" cache="Slicer_Sales_Person" caption="Sales Person" style="SlicerStyleDark1" rowHeight="247650"/>
  <slicer name="Product 1" xr10:uid="{9915E38E-8446-4388-A201-127B7B36C8D1}" cache="Slicer_Product" caption="Product"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DD0E498-F9FC-4899-9120-98240292E299}" cache="Slicer_Region" caption="Region" columnCount="2" showCaption="0" rowHeight="247650"/>
  <slicer name="Sales Person" xr10:uid="{57D740F3-1AE2-41B0-BA92-51F962574E1F}" cache="Slicer_Sales_Person" caption="Sales Person" rowHeight="247650"/>
  <slicer name="Product" xr10:uid="{F505B7F4-178F-4120-A10D-10E59F4A8E84}" cache="Slicer_Product" caption="Produc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248C76-4555-4B6A-B273-ED5220D8107E}" name="Table2" displayName="Table2" ref="A3:I53" totalsRowShown="0">
  <autoFilter ref="A3:I53" xr:uid="{57248C76-4555-4B6A-B273-ED5220D8107E}"/>
  <tableColumns count="9">
    <tableColumn id="1" xr3:uid="{02426A5B-9461-43BB-85B0-7B27464A6BFA}" name="Date" dataDxfId="8"/>
    <tableColumn id="2" xr3:uid="{716FEB06-5EC8-415E-85C8-C2B04D22984F}" name="Sales Person"/>
    <tableColumn id="3" xr3:uid="{89CF5460-5E79-4117-BE0D-955F0FE47323}" name="Region"/>
    <tableColumn id="4" xr3:uid="{65F58A9F-1A28-4A80-8329-AC9E7F1FF4C5}" name="Product"/>
    <tableColumn id="5" xr3:uid="{6BDF4D46-7C47-4E7C-B399-B5B23E9BA074}" name="Units Sold"/>
    <tableColumn id="6" xr3:uid="{6311F553-00C9-40AA-88F9-60367FECBB58}" name="Unit Price"/>
    <tableColumn id="7" xr3:uid="{0128E4E7-7945-49E4-857D-0B97C2D9CD31}" name="Cost of Goods"/>
    <tableColumn id="8" xr3:uid="{775C913A-C3A2-4028-AD17-032F6CE6FF8E}" name="Total Sales"/>
    <tableColumn id="9" xr3:uid="{20015707-6CE3-4CA7-8EFF-E55996C6AE74}"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141010-1D66-49E7-A9BC-4205D0DB7BD2}" name="Table1" displayName="Table1" ref="A1:I51" totalsRowShown="0" headerRowDxfId="7" dataDxfId="6" dataCellStyle="Currency [0]">
  <autoFilter ref="A1:I51" xr:uid="{DE141010-1D66-49E7-A9BC-4205D0DB7BD2}"/>
  <tableColumns count="9">
    <tableColumn id="1" xr3:uid="{11DF466F-24A7-4BC6-9CE9-9AC9EAFFDA64}" name="Date" dataDxfId="5"/>
    <tableColumn id="2" xr3:uid="{1D8A5081-7402-4362-8FEA-F4DBF9404132}" name="Sales Person"/>
    <tableColumn id="3" xr3:uid="{B4CBB2EE-4038-4522-9A53-0F50B2978812}" name="Region"/>
    <tableColumn id="4" xr3:uid="{468B391E-AEF2-4D1B-8F73-2306DEC8A463}" name="Product"/>
    <tableColumn id="5" xr3:uid="{FD16F179-EB00-48BC-B3A4-002E4648D3BE}" name="Units Sold" dataDxfId="4"/>
    <tableColumn id="6" xr3:uid="{CE159EE8-BC76-41A4-B088-B5CF6F8803A8}" name="Unit Price" dataDxfId="3" dataCellStyle="Currency [0]">
      <calculatedColumnFormula>IF(D2="Tent",6000,IF(D2="Blender",3500,IF(D2="Action Figure",1200,IF(D2="Novel",1000,IF(D2="Sneakers",4000,IF(D2="Smartphone",10000,IF(D2="moisturizer",600,"No Product Found")))))))</calculatedColumnFormula>
    </tableColumn>
    <tableColumn id="7" xr3:uid="{6BD6AE82-A62D-4FDC-B202-2BDF2761D267}" name="Cost of Goods" dataDxfId="2" dataCellStyle="Currency [0]">
      <calculatedColumnFormula>IF(D2="Tent",4000,IF(D2="Blender",2500,IF(D2="Action Figure",800,IF(D2="Novel",700,IF(D2="Sneakers",3000,IF(D2="Smartphone",7000,IF(D2="moisturizer",400,"No Product Found")))))))</calculatedColumnFormula>
    </tableColumn>
    <tableColumn id="8" xr3:uid="{7D88A050-EE4E-48AF-BD66-E7945869C1E6}" name="Total Sales" dataDxfId="1" dataCellStyle="Currency [0]">
      <calculatedColumnFormula>F2*E2</calculatedColumnFormula>
    </tableColumn>
    <tableColumn id="9" xr3:uid="{30801548-0434-4CCF-9D36-F2D4B32CA091}" name="Profit" dataDxfId="0">
      <calculatedColumnFormula>H2-(G2*E2)</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C49D5-2D1E-4625-8C51-95E1C41B9862}">
  <dimension ref="A1"/>
  <sheetViews>
    <sheetView showGridLines="0" tabSelected="1" topLeftCell="A3" zoomScale="52" workbookViewId="0">
      <selection activeCell="K58" sqref="K5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FBEDE-47AE-4291-A243-8E1FB5703AB5}">
  <dimension ref="A1:I53"/>
  <sheetViews>
    <sheetView workbookViewId="0">
      <selection activeCell="A3" sqref="A3:I53"/>
    </sheetView>
  </sheetViews>
  <sheetFormatPr defaultRowHeight="14.4" x14ac:dyDescent="0.3"/>
  <cols>
    <col min="1" max="1" width="10.33203125" bestFit="1" customWidth="1"/>
    <col min="2" max="2" width="13.77734375" bestFit="1" customWidth="1"/>
    <col min="3" max="3" width="9" bestFit="1" customWidth="1"/>
    <col min="4" max="4" width="11.44140625" bestFit="1" customWidth="1"/>
    <col min="5" max="5" width="11.6640625" bestFit="1" customWidth="1"/>
    <col min="6" max="6" width="11.33203125" bestFit="1" customWidth="1"/>
    <col min="7" max="7" width="14.5546875" bestFit="1" customWidth="1"/>
    <col min="8" max="8" width="12.21875" bestFit="1" customWidth="1"/>
    <col min="9" max="9" width="9" bestFit="1" customWidth="1"/>
  </cols>
  <sheetData>
    <row r="1" spans="1:9" x14ac:dyDescent="0.3">
      <c r="A1" s="11" t="s">
        <v>37</v>
      </c>
    </row>
    <row r="3" spans="1:9" x14ac:dyDescent="0.3">
      <c r="A3" t="s">
        <v>0</v>
      </c>
      <c r="B3" t="s">
        <v>1</v>
      </c>
      <c r="C3" t="s">
        <v>2</v>
      </c>
      <c r="D3" t="s">
        <v>3</v>
      </c>
      <c r="E3" t="s">
        <v>4</v>
      </c>
      <c r="F3" t="s">
        <v>5</v>
      </c>
      <c r="G3" t="s">
        <v>6</v>
      </c>
      <c r="H3" t="s">
        <v>7</v>
      </c>
      <c r="I3" t="s">
        <v>33</v>
      </c>
    </row>
    <row r="4" spans="1:9" x14ac:dyDescent="0.3">
      <c r="A4" s="10">
        <v>44446</v>
      </c>
      <c r="B4" t="s">
        <v>11</v>
      </c>
      <c r="C4" t="s">
        <v>12</v>
      </c>
      <c r="D4" t="s">
        <v>13</v>
      </c>
      <c r="E4">
        <v>128</v>
      </c>
      <c r="F4">
        <v>3500</v>
      </c>
      <c r="G4">
        <v>2500</v>
      </c>
      <c r="H4">
        <v>448000</v>
      </c>
      <c r="I4">
        <v>128000</v>
      </c>
    </row>
    <row r="5" spans="1:9" x14ac:dyDescent="0.3">
      <c r="A5" s="10">
        <v>44105</v>
      </c>
      <c r="B5" t="s">
        <v>22</v>
      </c>
      <c r="C5" t="s">
        <v>12</v>
      </c>
      <c r="D5" t="s">
        <v>16</v>
      </c>
      <c r="E5">
        <v>51</v>
      </c>
      <c r="F5">
        <v>1200</v>
      </c>
      <c r="G5">
        <v>800</v>
      </c>
      <c r="H5">
        <v>61200</v>
      </c>
      <c r="I5">
        <v>20400</v>
      </c>
    </row>
    <row r="6" spans="1:9" x14ac:dyDescent="0.3">
      <c r="A6" s="10">
        <v>44469</v>
      </c>
      <c r="B6" t="s">
        <v>27</v>
      </c>
      <c r="C6" t="s">
        <v>12</v>
      </c>
      <c r="D6" t="s">
        <v>16</v>
      </c>
      <c r="E6">
        <v>55</v>
      </c>
      <c r="F6">
        <v>1200</v>
      </c>
      <c r="G6">
        <v>800</v>
      </c>
      <c r="H6">
        <v>66000</v>
      </c>
      <c r="I6">
        <v>22000</v>
      </c>
    </row>
    <row r="7" spans="1:9" x14ac:dyDescent="0.3">
      <c r="A7" s="10">
        <v>44113</v>
      </c>
      <c r="B7" t="s">
        <v>25</v>
      </c>
      <c r="C7" t="s">
        <v>12</v>
      </c>
      <c r="D7" t="s">
        <v>21</v>
      </c>
      <c r="E7">
        <v>52</v>
      </c>
      <c r="F7">
        <v>4000</v>
      </c>
      <c r="G7">
        <v>3000</v>
      </c>
      <c r="H7">
        <v>208000</v>
      </c>
      <c r="I7">
        <v>52000</v>
      </c>
    </row>
    <row r="8" spans="1:9" x14ac:dyDescent="0.3">
      <c r="A8" s="10">
        <v>44418</v>
      </c>
      <c r="B8" t="s">
        <v>8</v>
      </c>
      <c r="C8" t="s">
        <v>12</v>
      </c>
      <c r="D8" t="s">
        <v>26</v>
      </c>
      <c r="E8">
        <v>103</v>
      </c>
      <c r="F8">
        <v>600</v>
      </c>
      <c r="G8">
        <v>400</v>
      </c>
      <c r="H8">
        <v>61800</v>
      </c>
      <c r="I8">
        <v>20600</v>
      </c>
    </row>
    <row r="9" spans="1:9" x14ac:dyDescent="0.3">
      <c r="A9" s="10">
        <v>44438</v>
      </c>
      <c r="B9" t="s">
        <v>22</v>
      </c>
      <c r="C9" t="s">
        <v>12</v>
      </c>
      <c r="D9" t="s">
        <v>21</v>
      </c>
      <c r="E9">
        <v>93</v>
      </c>
      <c r="F9">
        <v>4000</v>
      </c>
      <c r="G9">
        <v>3000</v>
      </c>
      <c r="H9">
        <v>372000</v>
      </c>
      <c r="I9">
        <v>93000</v>
      </c>
    </row>
    <row r="10" spans="1:9" x14ac:dyDescent="0.3">
      <c r="A10" s="10">
        <v>44126</v>
      </c>
      <c r="B10" t="s">
        <v>17</v>
      </c>
      <c r="C10" t="s">
        <v>12</v>
      </c>
      <c r="D10" t="s">
        <v>28</v>
      </c>
      <c r="E10">
        <v>127</v>
      </c>
      <c r="F10">
        <v>10000</v>
      </c>
      <c r="G10">
        <v>7000</v>
      </c>
      <c r="H10">
        <v>1270000</v>
      </c>
      <c r="I10">
        <v>381000</v>
      </c>
    </row>
    <row r="11" spans="1:9" x14ac:dyDescent="0.3">
      <c r="A11" s="10">
        <v>44536</v>
      </c>
      <c r="B11" t="s">
        <v>11</v>
      </c>
      <c r="C11" t="s">
        <v>12</v>
      </c>
      <c r="D11" t="s">
        <v>16</v>
      </c>
      <c r="E11">
        <v>67</v>
      </c>
      <c r="F11">
        <v>1200</v>
      </c>
      <c r="G11">
        <v>800</v>
      </c>
      <c r="H11">
        <v>80400</v>
      </c>
      <c r="I11">
        <v>26800</v>
      </c>
    </row>
    <row r="12" spans="1:9" x14ac:dyDescent="0.3">
      <c r="A12" s="10">
        <v>44109</v>
      </c>
      <c r="B12" t="s">
        <v>14</v>
      </c>
      <c r="C12" t="s">
        <v>12</v>
      </c>
      <c r="D12" t="s">
        <v>26</v>
      </c>
      <c r="E12">
        <v>90</v>
      </c>
      <c r="F12">
        <v>600</v>
      </c>
      <c r="G12">
        <v>400</v>
      </c>
      <c r="H12">
        <v>54000</v>
      </c>
      <c r="I12">
        <v>18000</v>
      </c>
    </row>
    <row r="13" spans="1:9" x14ac:dyDescent="0.3">
      <c r="A13" s="10">
        <v>44322</v>
      </c>
      <c r="B13" t="s">
        <v>14</v>
      </c>
      <c r="C13" t="s">
        <v>12</v>
      </c>
      <c r="D13" t="s">
        <v>13</v>
      </c>
      <c r="E13">
        <v>66</v>
      </c>
      <c r="F13">
        <v>3500</v>
      </c>
      <c r="G13">
        <v>2500</v>
      </c>
      <c r="H13">
        <v>231000</v>
      </c>
      <c r="I13">
        <v>66000</v>
      </c>
    </row>
    <row r="14" spans="1:9" x14ac:dyDescent="0.3">
      <c r="A14" s="10">
        <v>44193</v>
      </c>
      <c r="B14" t="s">
        <v>25</v>
      </c>
      <c r="C14" t="s">
        <v>12</v>
      </c>
      <c r="D14" t="s">
        <v>21</v>
      </c>
      <c r="E14">
        <v>61</v>
      </c>
      <c r="F14">
        <v>4000</v>
      </c>
      <c r="G14">
        <v>3000</v>
      </c>
      <c r="H14">
        <v>244000</v>
      </c>
      <c r="I14">
        <v>61000</v>
      </c>
    </row>
    <row r="15" spans="1:9" x14ac:dyDescent="0.3">
      <c r="A15" s="10">
        <v>43958</v>
      </c>
      <c r="B15" t="s">
        <v>11</v>
      </c>
      <c r="C15" t="s">
        <v>12</v>
      </c>
      <c r="D15" t="s">
        <v>10</v>
      </c>
      <c r="E15">
        <v>73</v>
      </c>
      <c r="F15">
        <v>6000</v>
      </c>
      <c r="G15">
        <v>4000</v>
      </c>
      <c r="H15">
        <v>438000</v>
      </c>
      <c r="I15">
        <v>146000</v>
      </c>
    </row>
    <row r="16" spans="1:9" x14ac:dyDescent="0.3">
      <c r="A16" s="10">
        <v>44085</v>
      </c>
      <c r="B16" t="s">
        <v>17</v>
      </c>
      <c r="C16" t="s">
        <v>18</v>
      </c>
      <c r="D16" t="s">
        <v>19</v>
      </c>
      <c r="E16">
        <v>91</v>
      </c>
      <c r="F16">
        <v>1000</v>
      </c>
      <c r="G16">
        <v>700</v>
      </c>
      <c r="H16">
        <v>91000</v>
      </c>
      <c r="I16">
        <v>27300</v>
      </c>
    </row>
    <row r="17" spans="1:9" x14ac:dyDescent="0.3">
      <c r="A17" s="10">
        <v>44413</v>
      </c>
      <c r="B17" t="s">
        <v>23</v>
      </c>
      <c r="C17" t="s">
        <v>18</v>
      </c>
      <c r="D17" t="s">
        <v>19</v>
      </c>
      <c r="E17">
        <v>78</v>
      </c>
      <c r="F17">
        <v>1000</v>
      </c>
      <c r="G17">
        <v>700</v>
      </c>
      <c r="H17">
        <v>78000</v>
      </c>
      <c r="I17">
        <v>23400</v>
      </c>
    </row>
    <row r="18" spans="1:9" x14ac:dyDescent="0.3">
      <c r="A18" s="10">
        <v>44362</v>
      </c>
      <c r="B18" t="s">
        <v>11</v>
      </c>
      <c r="C18" t="s">
        <v>18</v>
      </c>
      <c r="D18" t="s">
        <v>21</v>
      </c>
      <c r="E18">
        <v>145</v>
      </c>
      <c r="F18">
        <v>4000</v>
      </c>
      <c r="G18">
        <v>3000</v>
      </c>
      <c r="H18">
        <v>580000</v>
      </c>
      <c r="I18">
        <v>145000</v>
      </c>
    </row>
    <row r="19" spans="1:9" x14ac:dyDescent="0.3">
      <c r="A19" s="10">
        <v>44293</v>
      </c>
      <c r="B19" t="s">
        <v>14</v>
      </c>
      <c r="C19" t="s">
        <v>18</v>
      </c>
      <c r="D19" t="s">
        <v>21</v>
      </c>
      <c r="E19">
        <v>144</v>
      </c>
      <c r="F19">
        <v>4000</v>
      </c>
      <c r="G19">
        <v>3000</v>
      </c>
      <c r="H19">
        <v>576000</v>
      </c>
      <c r="I19">
        <v>144000</v>
      </c>
    </row>
    <row r="20" spans="1:9" x14ac:dyDescent="0.3">
      <c r="A20" s="10">
        <v>44532</v>
      </c>
      <c r="B20" t="s">
        <v>27</v>
      </c>
      <c r="C20" t="s">
        <v>18</v>
      </c>
      <c r="D20" t="s">
        <v>19</v>
      </c>
      <c r="E20">
        <v>55</v>
      </c>
      <c r="F20">
        <v>1000</v>
      </c>
      <c r="G20">
        <v>700</v>
      </c>
      <c r="H20">
        <v>55000</v>
      </c>
      <c r="I20">
        <v>16500</v>
      </c>
    </row>
    <row r="21" spans="1:9" x14ac:dyDescent="0.3">
      <c r="A21" s="10">
        <v>44496</v>
      </c>
      <c r="B21" t="s">
        <v>25</v>
      </c>
      <c r="C21" t="s">
        <v>18</v>
      </c>
      <c r="D21" t="s">
        <v>26</v>
      </c>
      <c r="E21">
        <v>99</v>
      </c>
      <c r="F21">
        <v>600</v>
      </c>
      <c r="G21">
        <v>400</v>
      </c>
      <c r="H21">
        <v>59400</v>
      </c>
      <c r="I21">
        <v>19800</v>
      </c>
    </row>
    <row r="22" spans="1:9" x14ac:dyDescent="0.3">
      <c r="A22" s="10">
        <v>44103</v>
      </c>
      <c r="B22" t="s">
        <v>25</v>
      </c>
      <c r="C22" t="s">
        <v>18</v>
      </c>
      <c r="D22" t="s">
        <v>16</v>
      </c>
      <c r="E22">
        <v>88</v>
      </c>
      <c r="F22">
        <v>1200</v>
      </c>
      <c r="G22">
        <v>800</v>
      </c>
      <c r="H22">
        <v>105600</v>
      </c>
      <c r="I22">
        <v>35200</v>
      </c>
    </row>
    <row r="23" spans="1:9" x14ac:dyDescent="0.3">
      <c r="A23" s="10">
        <v>44378</v>
      </c>
      <c r="B23" t="s">
        <v>20</v>
      </c>
      <c r="C23" t="s">
        <v>18</v>
      </c>
      <c r="D23" t="s">
        <v>26</v>
      </c>
      <c r="E23">
        <v>104</v>
      </c>
      <c r="F23">
        <v>600</v>
      </c>
      <c r="G23">
        <v>400</v>
      </c>
      <c r="H23">
        <v>62400</v>
      </c>
      <c r="I23">
        <v>20800</v>
      </c>
    </row>
    <row r="24" spans="1:9" x14ac:dyDescent="0.3">
      <c r="A24" s="10">
        <v>44441</v>
      </c>
      <c r="B24" t="s">
        <v>8</v>
      </c>
      <c r="C24" t="s">
        <v>18</v>
      </c>
      <c r="D24" t="s">
        <v>21</v>
      </c>
      <c r="E24">
        <v>127</v>
      </c>
      <c r="F24">
        <v>4000</v>
      </c>
      <c r="G24">
        <v>3000</v>
      </c>
      <c r="H24">
        <v>508000</v>
      </c>
      <c r="I24">
        <v>127000</v>
      </c>
    </row>
    <row r="25" spans="1:9" x14ac:dyDescent="0.3">
      <c r="A25" s="10">
        <v>44211</v>
      </c>
      <c r="B25" t="s">
        <v>8</v>
      </c>
      <c r="C25" t="s">
        <v>18</v>
      </c>
      <c r="D25" t="s">
        <v>10</v>
      </c>
      <c r="E25">
        <v>78</v>
      </c>
      <c r="F25">
        <v>6000</v>
      </c>
      <c r="G25">
        <v>4000</v>
      </c>
      <c r="H25">
        <v>468000</v>
      </c>
      <c r="I25">
        <v>156000</v>
      </c>
    </row>
    <row r="26" spans="1:9" x14ac:dyDescent="0.3">
      <c r="A26" s="10">
        <v>44496</v>
      </c>
      <c r="B26" t="s">
        <v>20</v>
      </c>
      <c r="C26" t="s">
        <v>18</v>
      </c>
      <c r="D26" t="s">
        <v>26</v>
      </c>
      <c r="E26">
        <v>130</v>
      </c>
      <c r="F26">
        <v>600</v>
      </c>
      <c r="G26">
        <v>400</v>
      </c>
      <c r="H26">
        <v>78000</v>
      </c>
      <c r="I26">
        <v>26000</v>
      </c>
    </row>
    <row r="27" spans="1:9" x14ac:dyDescent="0.3">
      <c r="A27" s="10">
        <v>44230</v>
      </c>
      <c r="B27" t="s">
        <v>14</v>
      </c>
      <c r="C27" t="s">
        <v>15</v>
      </c>
      <c r="D27" t="s">
        <v>16</v>
      </c>
      <c r="E27">
        <v>136</v>
      </c>
      <c r="F27">
        <v>1200</v>
      </c>
      <c r="G27">
        <v>800</v>
      </c>
      <c r="H27">
        <v>163200</v>
      </c>
      <c r="I27">
        <v>54400</v>
      </c>
    </row>
    <row r="28" spans="1:9" x14ac:dyDescent="0.3">
      <c r="A28" s="10">
        <v>44141</v>
      </c>
      <c r="B28" t="s">
        <v>24</v>
      </c>
      <c r="C28" t="s">
        <v>15</v>
      </c>
      <c r="D28" t="s">
        <v>10</v>
      </c>
      <c r="E28">
        <v>146</v>
      </c>
      <c r="F28">
        <v>6000</v>
      </c>
      <c r="G28">
        <v>4000</v>
      </c>
      <c r="H28">
        <v>876000</v>
      </c>
      <c r="I28">
        <v>292000</v>
      </c>
    </row>
    <row r="29" spans="1:9" x14ac:dyDescent="0.3">
      <c r="A29" s="10">
        <v>44442</v>
      </c>
      <c r="B29" t="s">
        <v>27</v>
      </c>
      <c r="C29" t="s">
        <v>15</v>
      </c>
      <c r="D29" t="s">
        <v>10</v>
      </c>
      <c r="E29">
        <v>52</v>
      </c>
      <c r="F29">
        <v>6000</v>
      </c>
      <c r="G29">
        <v>4000</v>
      </c>
      <c r="H29">
        <v>312000</v>
      </c>
      <c r="I29">
        <v>104000</v>
      </c>
    </row>
    <row r="30" spans="1:9" x14ac:dyDescent="0.3">
      <c r="A30" s="10">
        <v>44084</v>
      </c>
      <c r="B30" t="s">
        <v>27</v>
      </c>
      <c r="C30" t="s">
        <v>15</v>
      </c>
      <c r="D30" t="s">
        <v>19</v>
      </c>
      <c r="E30">
        <v>137</v>
      </c>
      <c r="F30">
        <v>1000</v>
      </c>
      <c r="G30">
        <v>700</v>
      </c>
      <c r="H30">
        <v>137000</v>
      </c>
      <c r="I30">
        <v>41100</v>
      </c>
    </row>
    <row r="31" spans="1:9" x14ac:dyDescent="0.3">
      <c r="A31" s="10">
        <v>44404</v>
      </c>
      <c r="B31" t="s">
        <v>24</v>
      </c>
      <c r="C31" t="s">
        <v>15</v>
      </c>
      <c r="D31" t="s">
        <v>13</v>
      </c>
      <c r="E31">
        <v>96</v>
      </c>
      <c r="F31">
        <v>3500</v>
      </c>
      <c r="G31">
        <v>2500</v>
      </c>
      <c r="H31">
        <v>336000</v>
      </c>
      <c r="I31">
        <v>96000</v>
      </c>
    </row>
    <row r="32" spans="1:9" x14ac:dyDescent="0.3">
      <c r="A32" s="10">
        <v>44083</v>
      </c>
      <c r="B32" t="s">
        <v>8</v>
      </c>
      <c r="C32" t="s">
        <v>15</v>
      </c>
      <c r="D32" t="s">
        <v>26</v>
      </c>
      <c r="E32">
        <v>83</v>
      </c>
      <c r="F32">
        <v>600</v>
      </c>
      <c r="G32">
        <v>400</v>
      </c>
      <c r="H32">
        <v>49800</v>
      </c>
      <c r="I32">
        <v>16600</v>
      </c>
    </row>
    <row r="33" spans="1:9" x14ac:dyDescent="0.3">
      <c r="A33" s="10">
        <v>44421</v>
      </c>
      <c r="B33" t="s">
        <v>20</v>
      </c>
      <c r="C33" t="s">
        <v>15</v>
      </c>
      <c r="D33" t="s">
        <v>19</v>
      </c>
      <c r="E33">
        <v>91</v>
      </c>
      <c r="F33">
        <v>1000</v>
      </c>
      <c r="G33">
        <v>700</v>
      </c>
      <c r="H33">
        <v>91000</v>
      </c>
      <c r="I33">
        <v>27300</v>
      </c>
    </row>
    <row r="34" spans="1:9" x14ac:dyDescent="0.3">
      <c r="A34" s="10">
        <v>43990</v>
      </c>
      <c r="B34" t="s">
        <v>20</v>
      </c>
      <c r="C34" t="s">
        <v>15</v>
      </c>
      <c r="D34" t="s">
        <v>26</v>
      </c>
      <c r="E34">
        <v>92</v>
      </c>
      <c r="F34">
        <v>600</v>
      </c>
      <c r="G34">
        <v>400</v>
      </c>
      <c r="H34">
        <v>55200</v>
      </c>
      <c r="I34">
        <v>18400</v>
      </c>
    </row>
    <row r="35" spans="1:9" x14ac:dyDescent="0.3">
      <c r="A35" s="10">
        <v>43971</v>
      </c>
      <c r="B35" t="s">
        <v>14</v>
      </c>
      <c r="C35" t="s">
        <v>15</v>
      </c>
      <c r="D35" t="s">
        <v>26</v>
      </c>
      <c r="E35">
        <v>143</v>
      </c>
      <c r="F35">
        <v>600</v>
      </c>
      <c r="G35">
        <v>400</v>
      </c>
      <c r="H35">
        <v>85800</v>
      </c>
      <c r="I35">
        <v>28600</v>
      </c>
    </row>
    <row r="36" spans="1:9" x14ac:dyDescent="0.3">
      <c r="A36" s="10">
        <v>44405</v>
      </c>
      <c r="B36" t="s">
        <v>11</v>
      </c>
      <c r="C36" t="s">
        <v>15</v>
      </c>
      <c r="D36" t="s">
        <v>13</v>
      </c>
      <c r="E36">
        <v>66</v>
      </c>
      <c r="F36">
        <v>3500</v>
      </c>
      <c r="G36">
        <v>2500</v>
      </c>
      <c r="H36">
        <v>231000</v>
      </c>
      <c r="I36">
        <v>66000</v>
      </c>
    </row>
    <row r="37" spans="1:9" x14ac:dyDescent="0.3">
      <c r="A37" s="10">
        <v>44069</v>
      </c>
      <c r="B37" t="s">
        <v>27</v>
      </c>
      <c r="C37" t="s">
        <v>15</v>
      </c>
      <c r="D37" t="s">
        <v>19</v>
      </c>
      <c r="E37">
        <v>149</v>
      </c>
      <c r="F37">
        <v>1000</v>
      </c>
      <c r="G37">
        <v>700</v>
      </c>
      <c r="H37">
        <v>149000</v>
      </c>
      <c r="I37">
        <v>44700</v>
      </c>
    </row>
    <row r="38" spans="1:9" x14ac:dyDescent="0.3">
      <c r="A38" s="10">
        <v>44076</v>
      </c>
      <c r="B38" t="s">
        <v>22</v>
      </c>
      <c r="C38" t="s">
        <v>15</v>
      </c>
      <c r="D38" t="s">
        <v>26</v>
      </c>
      <c r="E38">
        <v>67</v>
      </c>
      <c r="F38">
        <v>600</v>
      </c>
      <c r="G38">
        <v>400</v>
      </c>
      <c r="H38">
        <v>40200</v>
      </c>
      <c r="I38">
        <v>13400</v>
      </c>
    </row>
    <row r="39" spans="1:9" x14ac:dyDescent="0.3">
      <c r="A39" s="10">
        <v>44070</v>
      </c>
      <c r="B39" t="s">
        <v>24</v>
      </c>
      <c r="C39" t="s">
        <v>15</v>
      </c>
      <c r="D39" t="s">
        <v>19</v>
      </c>
      <c r="E39">
        <v>69</v>
      </c>
      <c r="F39">
        <v>1000</v>
      </c>
      <c r="G39">
        <v>700</v>
      </c>
      <c r="H39">
        <v>69000</v>
      </c>
      <c r="I39">
        <v>20700</v>
      </c>
    </row>
    <row r="40" spans="1:9" x14ac:dyDescent="0.3">
      <c r="A40" s="10">
        <v>44517</v>
      </c>
      <c r="B40" t="s">
        <v>27</v>
      </c>
      <c r="C40" t="s">
        <v>15</v>
      </c>
      <c r="D40" t="s">
        <v>26</v>
      </c>
      <c r="E40">
        <v>109</v>
      </c>
      <c r="F40">
        <v>600</v>
      </c>
      <c r="G40">
        <v>400</v>
      </c>
      <c r="H40">
        <v>65400</v>
      </c>
      <c r="I40">
        <v>21800</v>
      </c>
    </row>
    <row r="41" spans="1:9" x14ac:dyDescent="0.3">
      <c r="A41" s="10">
        <v>44502</v>
      </c>
      <c r="B41" t="s">
        <v>17</v>
      </c>
      <c r="C41" t="s">
        <v>15</v>
      </c>
      <c r="D41" t="s">
        <v>13</v>
      </c>
      <c r="E41">
        <v>60</v>
      </c>
      <c r="F41">
        <v>3500</v>
      </c>
      <c r="G41">
        <v>2500</v>
      </c>
      <c r="H41">
        <v>210000</v>
      </c>
      <c r="I41">
        <v>60000</v>
      </c>
    </row>
    <row r="42" spans="1:9" x14ac:dyDescent="0.3">
      <c r="A42" s="10">
        <v>44246</v>
      </c>
      <c r="B42" t="s">
        <v>8</v>
      </c>
      <c r="C42" t="s">
        <v>9</v>
      </c>
      <c r="D42" t="s">
        <v>10</v>
      </c>
      <c r="E42">
        <v>84</v>
      </c>
      <c r="F42">
        <v>6000</v>
      </c>
      <c r="G42">
        <v>4000</v>
      </c>
      <c r="H42">
        <v>504000</v>
      </c>
      <c r="I42">
        <v>168000</v>
      </c>
    </row>
    <row r="43" spans="1:9" x14ac:dyDescent="0.3">
      <c r="A43" s="10">
        <v>44462</v>
      </c>
      <c r="B43" t="s">
        <v>20</v>
      </c>
      <c r="C43" t="s">
        <v>9</v>
      </c>
      <c r="D43" t="s">
        <v>21</v>
      </c>
      <c r="E43">
        <v>110</v>
      </c>
      <c r="F43">
        <v>4000</v>
      </c>
      <c r="G43">
        <v>3000</v>
      </c>
      <c r="H43">
        <v>440000</v>
      </c>
      <c r="I43">
        <v>110000</v>
      </c>
    </row>
    <row r="44" spans="1:9" x14ac:dyDescent="0.3">
      <c r="A44" s="10">
        <v>44223</v>
      </c>
      <c r="B44" t="s">
        <v>25</v>
      </c>
      <c r="C44" t="s">
        <v>9</v>
      </c>
      <c r="D44" t="s">
        <v>26</v>
      </c>
      <c r="E44">
        <v>101</v>
      </c>
      <c r="F44">
        <v>600</v>
      </c>
      <c r="G44">
        <v>400</v>
      </c>
      <c r="H44">
        <v>60600</v>
      </c>
      <c r="I44">
        <v>20200</v>
      </c>
    </row>
    <row r="45" spans="1:9" x14ac:dyDescent="0.3">
      <c r="A45" s="10">
        <v>44292</v>
      </c>
      <c r="B45" t="s">
        <v>17</v>
      </c>
      <c r="C45" t="s">
        <v>9</v>
      </c>
      <c r="D45" t="s">
        <v>13</v>
      </c>
      <c r="E45">
        <v>76</v>
      </c>
      <c r="F45">
        <v>3500</v>
      </c>
      <c r="G45">
        <v>2500</v>
      </c>
      <c r="H45">
        <v>266000</v>
      </c>
      <c r="I45">
        <v>76000</v>
      </c>
    </row>
    <row r="46" spans="1:9" x14ac:dyDescent="0.3">
      <c r="A46" s="10">
        <v>44070</v>
      </c>
      <c r="B46" t="s">
        <v>22</v>
      </c>
      <c r="C46" t="s">
        <v>9</v>
      </c>
      <c r="D46" t="s">
        <v>28</v>
      </c>
      <c r="E46">
        <v>108</v>
      </c>
      <c r="F46">
        <v>10000</v>
      </c>
      <c r="G46">
        <v>7000</v>
      </c>
      <c r="H46">
        <v>1080000</v>
      </c>
      <c r="I46">
        <v>324000</v>
      </c>
    </row>
    <row r="47" spans="1:9" x14ac:dyDescent="0.3">
      <c r="A47" s="10">
        <v>44551</v>
      </c>
      <c r="B47" t="s">
        <v>24</v>
      </c>
      <c r="C47" t="s">
        <v>9</v>
      </c>
      <c r="D47" t="s">
        <v>10</v>
      </c>
      <c r="E47">
        <v>71</v>
      </c>
      <c r="F47">
        <v>6000</v>
      </c>
      <c r="G47">
        <v>4000</v>
      </c>
      <c r="H47">
        <v>426000</v>
      </c>
      <c r="I47">
        <v>142000</v>
      </c>
    </row>
    <row r="48" spans="1:9" x14ac:dyDescent="0.3">
      <c r="A48" s="10">
        <v>44452</v>
      </c>
      <c r="B48" t="s">
        <v>23</v>
      </c>
      <c r="C48" t="s">
        <v>9</v>
      </c>
      <c r="D48" t="s">
        <v>13</v>
      </c>
      <c r="E48">
        <v>143</v>
      </c>
      <c r="F48">
        <v>3500</v>
      </c>
      <c r="G48">
        <v>2500</v>
      </c>
      <c r="H48">
        <v>500500</v>
      </c>
      <c r="I48">
        <v>143000</v>
      </c>
    </row>
    <row r="49" spans="1:9" x14ac:dyDescent="0.3">
      <c r="A49" s="10">
        <v>44187</v>
      </c>
      <c r="B49" t="s">
        <v>17</v>
      </c>
      <c r="C49" t="s">
        <v>9</v>
      </c>
      <c r="D49" t="s">
        <v>19</v>
      </c>
      <c r="E49">
        <v>120</v>
      </c>
      <c r="F49">
        <v>1000</v>
      </c>
      <c r="G49">
        <v>700</v>
      </c>
      <c r="H49">
        <v>120000</v>
      </c>
      <c r="I49">
        <v>36000</v>
      </c>
    </row>
    <row r="50" spans="1:9" x14ac:dyDescent="0.3">
      <c r="A50" s="10">
        <v>43970</v>
      </c>
      <c r="B50" t="s">
        <v>20</v>
      </c>
      <c r="C50" t="s">
        <v>9</v>
      </c>
      <c r="D50" t="s">
        <v>21</v>
      </c>
      <c r="E50">
        <v>67</v>
      </c>
      <c r="F50">
        <v>4000</v>
      </c>
      <c r="G50">
        <v>3000</v>
      </c>
      <c r="H50">
        <v>268000</v>
      </c>
      <c r="I50">
        <v>67000</v>
      </c>
    </row>
    <row r="51" spans="1:9" x14ac:dyDescent="0.3">
      <c r="A51" s="10">
        <v>44404</v>
      </c>
      <c r="B51" t="s">
        <v>24</v>
      </c>
      <c r="C51" t="s">
        <v>9</v>
      </c>
      <c r="D51" t="s">
        <v>26</v>
      </c>
      <c r="E51">
        <v>57</v>
      </c>
      <c r="F51">
        <v>600</v>
      </c>
      <c r="G51">
        <v>400</v>
      </c>
      <c r="H51">
        <v>34200</v>
      </c>
      <c r="I51">
        <v>11400</v>
      </c>
    </row>
    <row r="52" spans="1:9" x14ac:dyDescent="0.3">
      <c r="A52" s="10">
        <v>44299</v>
      </c>
      <c r="B52" t="s">
        <v>22</v>
      </c>
      <c r="C52" t="s">
        <v>9</v>
      </c>
      <c r="D52" t="s">
        <v>19</v>
      </c>
      <c r="E52">
        <v>108</v>
      </c>
      <c r="F52">
        <v>1000</v>
      </c>
      <c r="G52">
        <v>700</v>
      </c>
      <c r="H52">
        <v>108000</v>
      </c>
      <c r="I52">
        <v>32400</v>
      </c>
    </row>
    <row r="53" spans="1:9" x14ac:dyDescent="0.3">
      <c r="A53" s="10">
        <v>44232</v>
      </c>
      <c r="B53" t="s">
        <v>20</v>
      </c>
      <c r="C53" t="s">
        <v>9</v>
      </c>
      <c r="D53" t="s">
        <v>16</v>
      </c>
      <c r="E53">
        <v>59</v>
      </c>
      <c r="F53">
        <v>1200</v>
      </c>
      <c r="G53">
        <v>800</v>
      </c>
      <c r="H53">
        <v>70800</v>
      </c>
      <c r="I53">
        <v>23600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2D5B3-4152-4E5C-9E8F-7B5E52564F5B}">
  <dimension ref="A3:N16"/>
  <sheetViews>
    <sheetView topLeftCell="G1" zoomScale="58" workbookViewId="0">
      <selection activeCell="I50" sqref="I50"/>
    </sheetView>
  </sheetViews>
  <sheetFormatPr defaultRowHeight="14.4" x14ac:dyDescent="0.3"/>
  <cols>
    <col min="1" max="1" width="18.88671875" bestFit="1" customWidth="1"/>
    <col min="2" max="2" width="24.44140625" bestFit="1" customWidth="1"/>
    <col min="5" max="5" width="18.88671875" bestFit="1" customWidth="1"/>
    <col min="6" max="6" width="24.44140625" bestFit="1" customWidth="1"/>
    <col min="9" max="9" width="18.88671875" bestFit="1" customWidth="1"/>
    <col min="10" max="10" width="24.44140625" bestFit="1" customWidth="1"/>
    <col min="13" max="13" width="18.88671875" bestFit="1" customWidth="1"/>
    <col min="14" max="14" width="23.44140625" bestFit="1" customWidth="1"/>
  </cols>
  <sheetData>
    <row r="3" spans="1:14" x14ac:dyDescent="0.3">
      <c r="A3" s="7" t="s">
        <v>34</v>
      </c>
      <c r="B3" t="s">
        <v>35</v>
      </c>
      <c r="E3" s="7" t="s">
        <v>34</v>
      </c>
      <c r="F3" t="s">
        <v>35</v>
      </c>
      <c r="I3" s="7" t="s">
        <v>34</v>
      </c>
      <c r="J3" t="s">
        <v>35</v>
      </c>
      <c r="M3" s="7" t="s">
        <v>34</v>
      </c>
      <c r="N3" t="s">
        <v>36</v>
      </c>
    </row>
    <row r="4" spans="1:14" x14ac:dyDescent="0.3">
      <c r="A4" s="3" t="s">
        <v>9</v>
      </c>
      <c r="B4" s="8">
        <v>3878100</v>
      </c>
      <c r="E4" s="3" t="s">
        <v>16</v>
      </c>
      <c r="F4" s="9">
        <v>70800</v>
      </c>
      <c r="I4" s="3" t="s">
        <v>8</v>
      </c>
      <c r="J4" s="9">
        <v>504000</v>
      </c>
      <c r="M4" s="3" t="s">
        <v>16</v>
      </c>
      <c r="N4" s="13">
        <v>59</v>
      </c>
    </row>
    <row r="5" spans="1:14" x14ac:dyDescent="0.3">
      <c r="A5" s="3" t="s">
        <v>29</v>
      </c>
      <c r="B5" s="8">
        <v>3878100</v>
      </c>
      <c r="E5" s="3" t="s">
        <v>13</v>
      </c>
      <c r="F5" s="9">
        <v>766500</v>
      </c>
      <c r="I5" s="3" t="s">
        <v>25</v>
      </c>
      <c r="J5" s="9">
        <v>60600</v>
      </c>
      <c r="M5" s="3" t="s">
        <v>13</v>
      </c>
      <c r="N5" s="13">
        <v>219</v>
      </c>
    </row>
    <row r="6" spans="1:14" x14ac:dyDescent="0.3">
      <c r="E6" s="3" t="s">
        <v>26</v>
      </c>
      <c r="F6" s="9">
        <v>94800</v>
      </c>
      <c r="I6" s="3" t="s">
        <v>17</v>
      </c>
      <c r="J6" s="9">
        <v>386000</v>
      </c>
      <c r="M6" s="3" t="s">
        <v>26</v>
      </c>
      <c r="N6" s="13">
        <v>158</v>
      </c>
    </row>
    <row r="7" spans="1:14" x14ac:dyDescent="0.3">
      <c r="E7" s="3" t="s">
        <v>19</v>
      </c>
      <c r="F7" s="9">
        <v>228000</v>
      </c>
      <c r="I7" s="3" t="s">
        <v>22</v>
      </c>
      <c r="J7" s="9">
        <v>1188000</v>
      </c>
      <c r="M7" s="3" t="s">
        <v>19</v>
      </c>
      <c r="N7" s="13">
        <v>228</v>
      </c>
    </row>
    <row r="8" spans="1:14" x14ac:dyDescent="0.3">
      <c r="E8" s="3" t="s">
        <v>28</v>
      </c>
      <c r="F8" s="9">
        <v>1080000</v>
      </c>
      <c r="I8" s="3" t="s">
        <v>24</v>
      </c>
      <c r="J8" s="9">
        <v>460200</v>
      </c>
      <c r="M8" s="3" t="s">
        <v>28</v>
      </c>
      <c r="N8" s="13">
        <v>108</v>
      </c>
    </row>
    <row r="9" spans="1:14" x14ac:dyDescent="0.3">
      <c r="E9" s="3" t="s">
        <v>21</v>
      </c>
      <c r="F9" s="9">
        <v>708000</v>
      </c>
      <c r="I9" s="3" t="s">
        <v>20</v>
      </c>
      <c r="J9" s="9">
        <v>778800</v>
      </c>
      <c r="M9" s="3" t="s">
        <v>21</v>
      </c>
      <c r="N9" s="13">
        <v>177</v>
      </c>
    </row>
    <row r="10" spans="1:14" x14ac:dyDescent="0.3">
      <c r="E10" s="3" t="s">
        <v>10</v>
      </c>
      <c r="F10" s="9">
        <v>930000</v>
      </c>
      <c r="I10" s="3" t="s">
        <v>23</v>
      </c>
      <c r="J10" s="9">
        <v>500500</v>
      </c>
      <c r="M10" s="3" t="s">
        <v>10</v>
      </c>
      <c r="N10" s="13">
        <v>155</v>
      </c>
    </row>
    <row r="11" spans="1:14" x14ac:dyDescent="0.3">
      <c r="E11" s="3" t="s">
        <v>38</v>
      </c>
      <c r="F11" s="9"/>
      <c r="I11" s="3" t="s">
        <v>29</v>
      </c>
      <c r="J11" s="9">
        <v>3878100</v>
      </c>
      <c r="M11" s="3" t="s">
        <v>43</v>
      </c>
      <c r="N11" s="13"/>
    </row>
    <row r="12" spans="1:14" x14ac:dyDescent="0.3">
      <c r="E12" s="3" t="s">
        <v>41</v>
      </c>
      <c r="F12" s="9"/>
      <c r="M12" s="3" t="s">
        <v>39</v>
      </c>
      <c r="N12" s="13"/>
    </row>
    <row r="13" spans="1:14" x14ac:dyDescent="0.3">
      <c r="E13" s="3" t="s">
        <v>42</v>
      </c>
      <c r="F13" s="9"/>
      <c r="M13" s="3" t="s">
        <v>40</v>
      </c>
      <c r="N13" s="13"/>
    </row>
    <row r="14" spans="1:14" x14ac:dyDescent="0.3">
      <c r="E14" s="3" t="s">
        <v>39</v>
      </c>
      <c r="F14" s="9"/>
      <c r="M14" s="3" t="s">
        <v>41</v>
      </c>
      <c r="N14" s="13"/>
    </row>
    <row r="15" spans="1:14" x14ac:dyDescent="0.3">
      <c r="E15" s="3" t="s">
        <v>40</v>
      </c>
      <c r="F15" s="9"/>
      <c r="M15" s="3" t="s">
        <v>42</v>
      </c>
      <c r="N15" s="13"/>
    </row>
    <row r="16" spans="1:14" x14ac:dyDescent="0.3">
      <c r="E16" s="3" t="s">
        <v>29</v>
      </c>
      <c r="F16" s="9">
        <v>3878100</v>
      </c>
      <c r="M16" s="3" t="s">
        <v>29</v>
      </c>
      <c r="N16" s="13">
        <v>1104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K51"/>
  <sheetViews>
    <sheetView topLeftCell="G1" zoomScale="79" workbookViewId="0">
      <selection activeCell="K8" sqref="K8"/>
    </sheetView>
  </sheetViews>
  <sheetFormatPr defaultRowHeight="14.4" x14ac:dyDescent="0.3"/>
  <cols>
    <col min="1" max="1" width="12.88671875" customWidth="1"/>
    <col min="2" max="2" width="14.109375" customWidth="1"/>
    <col min="4" max="4" width="15.6640625" customWidth="1"/>
    <col min="5" max="5" width="11.6640625" customWidth="1"/>
    <col min="6" max="6" width="11.21875" customWidth="1"/>
    <col min="7" max="7" width="14.88671875" customWidth="1"/>
    <col min="8" max="9" width="13.5546875" customWidth="1"/>
    <col min="10" max="10" width="12.21875" bestFit="1" customWidth="1"/>
    <col min="11" max="11" width="14.21875" customWidth="1"/>
  </cols>
  <sheetData>
    <row r="1" spans="1:11" ht="20.100000000000001" customHeight="1" thickBot="1" x14ac:dyDescent="0.35">
      <c r="A1" s="1" t="s">
        <v>0</v>
      </c>
      <c r="B1" s="1" t="s">
        <v>1</v>
      </c>
      <c r="C1" s="1" t="s">
        <v>2</v>
      </c>
      <c r="D1" s="1" t="s">
        <v>3</v>
      </c>
      <c r="E1" s="1" t="s">
        <v>4</v>
      </c>
      <c r="F1" s="1" t="s">
        <v>5</v>
      </c>
      <c r="G1" s="1" t="s">
        <v>6</v>
      </c>
      <c r="H1" s="1" t="s">
        <v>7</v>
      </c>
      <c r="I1" s="5" t="s">
        <v>33</v>
      </c>
      <c r="K1" s="5" t="s">
        <v>29</v>
      </c>
    </row>
    <row r="2" spans="1:11" ht="15" thickTop="1" x14ac:dyDescent="0.3">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6">
        <f>H2-(G2*E2)</f>
        <v>168000</v>
      </c>
      <c r="K2" s="12">
        <f>SUM(H2:H51)</f>
        <v>12944500</v>
      </c>
    </row>
    <row r="3" spans="1:11" x14ac:dyDescent="0.3">
      <c r="A3" s="2">
        <v>44446</v>
      </c>
      <c r="B3" t="s">
        <v>11</v>
      </c>
      <c r="C3" t="s">
        <v>12</v>
      </c>
      <c r="D3" t="s">
        <v>13</v>
      </c>
      <c r="E3" s="3">
        <v>128</v>
      </c>
      <c r="F3" s="4">
        <f t="shared" ref="F3:F51" si="0">IF(D3="Tent",6000,IF(D3="Blender",3500,IF(D3="Action Figure",1200,IF(D3="Novel",1000,IF(D3="Sneakers",4000,IF(D3="Smartphone",10000,IF(D3="moisturizer",600,"No Product Found")))))))</f>
        <v>3500</v>
      </c>
      <c r="G3" s="4">
        <f t="shared" ref="G3:G51" si="1">IF(D3="Tent",4000,IF(D3="Blender",2500,IF(D3="Action Figure",800,IF(D3="Novel",700,IF(D3="Sneakers",3000,IF(D3="Smartphone",7000,IF(D3="moisturizer",400,"No Product Found")))))))</f>
        <v>2500</v>
      </c>
      <c r="H3" s="4">
        <f t="shared" ref="H3:H51" si="2">F3*E3</f>
        <v>448000</v>
      </c>
      <c r="I3" s="6">
        <f t="shared" ref="I3:I51" si="3">H3-(G3*E3)</f>
        <v>128000</v>
      </c>
      <c r="K3" t="s">
        <v>30</v>
      </c>
    </row>
    <row r="4" spans="1:11" x14ac:dyDescent="0.3">
      <c r="A4" s="2">
        <v>44230</v>
      </c>
      <c r="B4" t="s">
        <v>14</v>
      </c>
      <c r="C4" t="s">
        <v>15</v>
      </c>
      <c r="D4" t="s">
        <v>16</v>
      </c>
      <c r="E4" s="3">
        <v>136</v>
      </c>
      <c r="F4" s="4">
        <f t="shared" si="0"/>
        <v>1200</v>
      </c>
      <c r="G4" s="4">
        <f t="shared" si="1"/>
        <v>800</v>
      </c>
      <c r="H4" s="4">
        <f t="shared" si="2"/>
        <v>163200</v>
      </c>
      <c r="I4" s="6">
        <f t="shared" si="3"/>
        <v>54400</v>
      </c>
      <c r="K4" s="12">
        <f>SUM(E2:E51)</f>
        <v>4705</v>
      </c>
    </row>
    <row r="5" spans="1:11" x14ac:dyDescent="0.3">
      <c r="A5" s="2">
        <v>44085</v>
      </c>
      <c r="B5" t="s">
        <v>17</v>
      </c>
      <c r="C5" t="s">
        <v>18</v>
      </c>
      <c r="D5" t="s">
        <v>19</v>
      </c>
      <c r="E5" s="3">
        <v>91</v>
      </c>
      <c r="F5" s="4">
        <f t="shared" si="0"/>
        <v>1000</v>
      </c>
      <c r="G5" s="4">
        <f t="shared" si="1"/>
        <v>700</v>
      </c>
      <c r="H5" s="4">
        <f t="shared" si="2"/>
        <v>91000</v>
      </c>
      <c r="I5" s="6">
        <f t="shared" si="3"/>
        <v>27300</v>
      </c>
      <c r="K5" t="s">
        <v>31</v>
      </c>
    </row>
    <row r="6" spans="1:11" x14ac:dyDescent="0.3">
      <c r="A6" s="2">
        <v>44462</v>
      </c>
      <c r="B6" t="s">
        <v>20</v>
      </c>
      <c r="C6" t="s">
        <v>9</v>
      </c>
      <c r="D6" t="s">
        <v>21</v>
      </c>
      <c r="E6" s="3">
        <v>110</v>
      </c>
      <c r="F6" s="4">
        <f t="shared" si="0"/>
        <v>4000</v>
      </c>
      <c r="G6" s="4">
        <f t="shared" si="1"/>
        <v>3000</v>
      </c>
      <c r="H6" s="4">
        <f t="shared" si="2"/>
        <v>440000</v>
      </c>
      <c r="I6" s="6">
        <f t="shared" si="3"/>
        <v>110000</v>
      </c>
      <c r="K6" s="12">
        <f>SUM(I2:I51)</f>
        <v>3834400</v>
      </c>
    </row>
    <row r="7" spans="1:11" x14ac:dyDescent="0.3">
      <c r="A7" s="2">
        <v>44105</v>
      </c>
      <c r="B7" t="s">
        <v>22</v>
      </c>
      <c r="C7" t="s">
        <v>12</v>
      </c>
      <c r="D7" t="s">
        <v>16</v>
      </c>
      <c r="E7" s="3">
        <v>51</v>
      </c>
      <c r="F7" s="4">
        <f t="shared" si="0"/>
        <v>1200</v>
      </c>
      <c r="G7" s="4">
        <f t="shared" si="1"/>
        <v>800</v>
      </c>
      <c r="H7" s="4">
        <f t="shared" si="2"/>
        <v>61200</v>
      </c>
      <c r="I7" s="6">
        <f t="shared" si="3"/>
        <v>20400</v>
      </c>
      <c r="K7" t="s">
        <v>32</v>
      </c>
    </row>
    <row r="8" spans="1:11" x14ac:dyDescent="0.3">
      <c r="A8" s="2">
        <v>44413</v>
      </c>
      <c r="B8" t="s">
        <v>23</v>
      </c>
      <c r="C8" t="s">
        <v>18</v>
      </c>
      <c r="D8" t="s">
        <v>19</v>
      </c>
      <c r="E8" s="3">
        <v>78</v>
      </c>
      <c r="F8" s="4">
        <f t="shared" si="0"/>
        <v>1000</v>
      </c>
      <c r="G8" s="4">
        <f t="shared" si="1"/>
        <v>700</v>
      </c>
      <c r="H8" s="4">
        <f t="shared" si="2"/>
        <v>78000</v>
      </c>
      <c r="I8" s="6">
        <f t="shared" si="3"/>
        <v>23400</v>
      </c>
      <c r="K8" s="12">
        <f>AVERAGE(H2:H51)</f>
        <v>258890</v>
      </c>
    </row>
    <row r="9" spans="1:11" x14ac:dyDescent="0.3">
      <c r="A9" s="2">
        <v>44141</v>
      </c>
      <c r="B9" t="s">
        <v>24</v>
      </c>
      <c r="C9" t="s">
        <v>15</v>
      </c>
      <c r="D9" t="s">
        <v>10</v>
      </c>
      <c r="E9" s="3">
        <v>146</v>
      </c>
      <c r="F9" s="4">
        <f t="shared" si="0"/>
        <v>6000</v>
      </c>
      <c r="G9" s="4">
        <f t="shared" si="1"/>
        <v>4000</v>
      </c>
      <c r="H9" s="4">
        <f t="shared" si="2"/>
        <v>876000</v>
      </c>
      <c r="I9" s="6">
        <f t="shared" si="3"/>
        <v>292000</v>
      </c>
    </row>
    <row r="10" spans="1:11" x14ac:dyDescent="0.3">
      <c r="A10" s="2">
        <v>44223</v>
      </c>
      <c r="B10" t="s">
        <v>25</v>
      </c>
      <c r="C10" t="s">
        <v>9</v>
      </c>
      <c r="D10" t="s">
        <v>26</v>
      </c>
      <c r="E10" s="3">
        <v>101</v>
      </c>
      <c r="F10" s="4">
        <f t="shared" si="0"/>
        <v>600</v>
      </c>
      <c r="G10" s="4">
        <f t="shared" si="1"/>
        <v>400</v>
      </c>
      <c r="H10" s="4">
        <f t="shared" si="2"/>
        <v>60600</v>
      </c>
      <c r="I10" s="6">
        <f t="shared" si="3"/>
        <v>20200</v>
      </c>
    </row>
    <row r="11" spans="1:11" x14ac:dyDescent="0.3">
      <c r="A11" s="2">
        <v>44442</v>
      </c>
      <c r="B11" t="s">
        <v>27</v>
      </c>
      <c r="C11" t="s">
        <v>15</v>
      </c>
      <c r="D11" t="s">
        <v>10</v>
      </c>
      <c r="E11" s="3">
        <v>52</v>
      </c>
      <c r="F11" s="4">
        <f t="shared" si="0"/>
        <v>6000</v>
      </c>
      <c r="G11" s="4">
        <f t="shared" si="1"/>
        <v>4000</v>
      </c>
      <c r="H11" s="4">
        <f t="shared" si="2"/>
        <v>312000</v>
      </c>
      <c r="I11" s="6">
        <f t="shared" si="3"/>
        <v>104000</v>
      </c>
    </row>
    <row r="12" spans="1:11" x14ac:dyDescent="0.3">
      <c r="A12" s="2">
        <v>44469</v>
      </c>
      <c r="B12" t="s">
        <v>27</v>
      </c>
      <c r="C12" t="s">
        <v>12</v>
      </c>
      <c r="D12" t="s">
        <v>16</v>
      </c>
      <c r="E12" s="3">
        <v>55</v>
      </c>
      <c r="F12" s="4">
        <f t="shared" si="0"/>
        <v>1200</v>
      </c>
      <c r="G12" s="4">
        <f t="shared" si="1"/>
        <v>800</v>
      </c>
      <c r="H12" s="4">
        <f t="shared" si="2"/>
        <v>66000</v>
      </c>
      <c r="I12" s="6">
        <f t="shared" si="3"/>
        <v>22000</v>
      </c>
    </row>
    <row r="13" spans="1:11" x14ac:dyDescent="0.3">
      <c r="A13" s="2">
        <v>44084</v>
      </c>
      <c r="B13" t="s">
        <v>27</v>
      </c>
      <c r="C13" t="s">
        <v>15</v>
      </c>
      <c r="D13" t="s">
        <v>19</v>
      </c>
      <c r="E13" s="3">
        <v>137</v>
      </c>
      <c r="F13" s="4">
        <f t="shared" si="0"/>
        <v>1000</v>
      </c>
      <c r="G13" s="4">
        <f t="shared" si="1"/>
        <v>700</v>
      </c>
      <c r="H13" s="4">
        <f t="shared" si="2"/>
        <v>137000</v>
      </c>
      <c r="I13" s="6">
        <f t="shared" si="3"/>
        <v>41100</v>
      </c>
    </row>
    <row r="14" spans="1:11" x14ac:dyDescent="0.3">
      <c r="A14" s="2">
        <v>44404</v>
      </c>
      <c r="B14" t="s">
        <v>24</v>
      </c>
      <c r="C14" t="s">
        <v>15</v>
      </c>
      <c r="D14" t="s">
        <v>13</v>
      </c>
      <c r="E14" s="3">
        <v>96</v>
      </c>
      <c r="F14" s="4">
        <f t="shared" si="0"/>
        <v>3500</v>
      </c>
      <c r="G14" s="4">
        <f t="shared" si="1"/>
        <v>2500</v>
      </c>
      <c r="H14" s="4">
        <f t="shared" si="2"/>
        <v>336000</v>
      </c>
      <c r="I14" s="6">
        <f t="shared" si="3"/>
        <v>96000</v>
      </c>
    </row>
    <row r="15" spans="1:11" x14ac:dyDescent="0.3">
      <c r="A15" s="2">
        <v>44113</v>
      </c>
      <c r="B15" t="s">
        <v>25</v>
      </c>
      <c r="C15" t="s">
        <v>12</v>
      </c>
      <c r="D15" t="s">
        <v>21</v>
      </c>
      <c r="E15" s="3">
        <v>52</v>
      </c>
      <c r="F15" s="4">
        <f t="shared" si="0"/>
        <v>4000</v>
      </c>
      <c r="G15" s="4">
        <f t="shared" si="1"/>
        <v>3000</v>
      </c>
      <c r="H15" s="4">
        <f t="shared" si="2"/>
        <v>208000</v>
      </c>
      <c r="I15" s="6">
        <f t="shared" si="3"/>
        <v>52000</v>
      </c>
    </row>
    <row r="16" spans="1:11" x14ac:dyDescent="0.3">
      <c r="A16" s="2">
        <v>44292</v>
      </c>
      <c r="B16" t="s">
        <v>17</v>
      </c>
      <c r="C16" t="s">
        <v>9</v>
      </c>
      <c r="D16" t="s">
        <v>13</v>
      </c>
      <c r="E16" s="3">
        <v>76</v>
      </c>
      <c r="F16" s="4">
        <f t="shared" si="0"/>
        <v>3500</v>
      </c>
      <c r="G16" s="4">
        <f t="shared" si="1"/>
        <v>2500</v>
      </c>
      <c r="H16" s="4">
        <f t="shared" si="2"/>
        <v>266000</v>
      </c>
      <c r="I16" s="6">
        <f t="shared" si="3"/>
        <v>76000</v>
      </c>
    </row>
    <row r="17" spans="1:9" x14ac:dyDescent="0.3">
      <c r="A17" s="2">
        <v>44362</v>
      </c>
      <c r="B17" t="s">
        <v>11</v>
      </c>
      <c r="C17" t="s">
        <v>18</v>
      </c>
      <c r="D17" t="s">
        <v>21</v>
      </c>
      <c r="E17" s="3">
        <v>145</v>
      </c>
      <c r="F17" s="4">
        <f t="shared" si="0"/>
        <v>4000</v>
      </c>
      <c r="G17" s="4">
        <f t="shared" si="1"/>
        <v>3000</v>
      </c>
      <c r="H17" s="4">
        <f t="shared" si="2"/>
        <v>580000</v>
      </c>
      <c r="I17" s="6">
        <f t="shared" si="3"/>
        <v>145000</v>
      </c>
    </row>
    <row r="18" spans="1:9" x14ac:dyDescent="0.3">
      <c r="A18" s="2">
        <v>44083</v>
      </c>
      <c r="B18" t="s">
        <v>8</v>
      </c>
      <c r="C18" t="s">
        <v>15</v>
      </c>
      <c r="D18" t="s">
        <v>26</v>
      </c>
      <c r="E18" s="3">
        <v>83</v>
      </c>
      <c r="F18" s="4">
        <f t="shared" si="0"/>
        <v>600</v>
      </c>
      <c r="G18" s="4">
        <f t="shared" si="1"/>
        <v>400</v>
      </c>
      <c r="H18" s="4">
        <f t="shared" si="2"/>
        <v>49800</v>
      </c>
      <c r="I18" s="6">
        <f t="shared" si="3"/>
        <v>16600</v>
      </c>
    </row>
    <row r="19" spans="1:9" x14ac:dyDescent="0.3">
      <c r="A19" s="2">
        <v>44421</v>
      </c>
      <c r="B19" t="s">
        <v>20</v>
      </c>
      <c r="C19" t="s">
        <v>15</v>
      </c>
      <c r="D19" t="s">
        <v>19</v>
      </c>
      <c r="E19" s="3">
        <v>91</v>
      </c>
      <c r="F19" s="4">
        <f t="shared" si="0"/>
        <v>1000</v>
      </c>
      <c r="G19" s="4">
        <f t="shared" si="1"/>
        <v>700</v>
      </c>
      <c r="H19" s="4">
        <f t="shared" si="2"/>
        <v>91000</v>
      </c>
      <c r="I19" s="6">
        <f t="shared" si="3"/>
        <v>27300</v>
      </c>
    </row>
    <row r="20" spans="1:9" x14ac:dyDescent="0.3">
      <c r="A20" s="2">
        <v>44070</v>
      </c>
      <c r="B20" t="s">
        <v>22</v>
      </c>
      <c r="C20" t="s">
        <v>9</v>
      </c>
      <c r="D20" t="s">
        <v>28</v>
      </c>
      <c r="E20" s="3">
        <v>108</v>
      </c>
      <c r="F20" s="4">
        <f t="shared" si="0"/>
        <v>10000</v>
      </c>
      <c r="G20" s="4">
        <f t="shared" si="1"/>
        <v>7000</v>
      </c>
      <c r="H20" s="4">
        <f t="shared" si="2"/>
        <v>1080000</v>
      </c>
      <c r="I20" s="6">
        <f t="shared" si="3"/>
        <v>324000</v>
      </c>
    </row>
    <row r="21" spans="1:9" x14ac:dyDescent="0.3">
      <c r="A21" s="2">
        <v>44293</v>
      </c>
      <c r="B21" t="s">
        <v>14</v>
      </c>
      <c r="C21" t="s">
        <v>18</v>
      </c>
      <c r="D21" t="s">
        <v>21</v>
      </c>
      <c r="E21" s="3">
        <v>144</v>
      </c>
      <c r="F21" s="4">
        <f t="shared" si="0"/>
        <v>4000</v>
      </c>
      <c r="G21" s="4">
        <f t="shared" si="1"/>
        <v>3000</v>
      </c>
      <c r="H21" s="4">
        <f t="shared" si="2"/>
        <v>576000</v>
      </c>
      <c r="I21" s="6">
        <f t="shared" si="3"/>
        <v>144000</v>
      </c>
    </row>
    <row r="22" spans="1:9" x14ac:dyDescent="0.3">
      <c r="A22" s="2">
        <v>43990</v>
      </c>
      <c r="B22" t="s">
        <v>20</v>
      </c>
      <c r="C22" t="s">
        <v>15</v>
      </c>
      <c r="D22" t="s">
        <v>26</v>
      </c>
      <c r="E22" s="3">
        <v>92</v>
      </c>
      <c r="F22" s="4">
        <f t="shared" si="0"/>
        <v>600</v>
      </c>
      <c r="G22" s="4">
        <f t="shared" si="1"/>
        <v>400</v>
      </c>
      <c r="H22" s="4">
        <f t="shared" si="2"/>
        <v>55200</v>
      </c>
      <c r="I22" s="6">
        <f t="shared" si="3"/>
        <v>18400</v>
      </c>
    </row>
    <row r="23" spans="1:9" x14ac:dyDescent="0.3">
      <c r="A23" s="2">
        <v>44551</v>
      </c>
      <c r="B23" t="s">
        <v>24</v>
      </c>
      <c r="C23" t="s">
        <v>9</v>
      </c>
      <c r="D23" t="s">
        <v>10</v>
      </c>
      <c r="E23" s="3">
        <v>71</v>
      </c>
      <c r="F23" s="4">
        <f t="shared" si="0"/>
        <v>6000</v>
      </c>
      <c r="G23" s="4">
        <f t="shared" si="1"/>
        <v>4000</v>
      </c>
      <c r="H23" s="4">
        <f t="shared" si="2"/>
        <v>426000</v>
      </c>
      <c r="I23" s="6">
        <f t="shared" si="3"/>
        <v>142000</v>
      </c>
    </row>
    <row r="24" spans="1:9" x14ac:dyDescent="0.3">
      <c r="A24" s="2">
        <v>44418</v>
      </c>
      <c r="B24" t="s">
        <v>8</v>
      </c>
      <c r="C24" t="s">
        <v>12</v>
      </c>
      <c r="D24" t="s">
        <v>26</v>
      </c>
      <c r="E24" s="3">
        <v>103</v>
      </c>
      <c r="F24" s="4">
        <f t="shared" si="0"/>
        <v>600</v>
      </c>
      <c r="G24" s="4">
        <f t="shared" si="1"/>
        <v>400</v>
      </c>
      <c r="H24" s="4">
        <f t="shared" si="2"/>
        <v>61800</v>
      </c>
      <c r="I24" s="6">
        <f t="shared" si="3"/>
        <v>20600</v>
      </c>
    </row>
    <row r="25" spans="1:9" x14ac:dyDescent="0.3">
      <c r="A25" s="2">
        <v>44532</v>
      </c>
      <c r="B25" t="s">
        <v>27</v>
      </c>
      <c r="C25" t="s">
        <v>18</v>
      </c>
      <c r="D25" t="s">
        <v>19</v>
      </c>
      <c r="E25" s="3">
        <v>55</v>
      </c>
      <c r="F25" s="4">
        <f t="shared" si="0"/>
        <v>1000</v>
      </c>
      <c r="G25" s="4">
        <f t="shared" si="1"/>
        <v>700</v>
      </c>
      <c r="H25" s="4">
        <f t="shared" si="2"/>
        <v>55000</v>
      </c>
      <c r="I25" s="6">
        <f t="shared" si="3"/>
        <v>16500</v>
      </c>
    </row>
    <row r="26" spans="1:9" x14ac:dyDescent="0.3">
      <c r="A26" s="2">
        <v>44438</v>
      </c>
      <c r="B26" t="s">
        <v>22</v>
      </c>
      <c r="C26" t="s">
        <v>12</v>
      </c>
      <c r="D26" t="s">
        <v>21</v>
      </c>
      <c r="E26" s="3">
        <v>93</v>
      </c>
      <c r="F26" s="4">
        <f t="shared" si="0"/>
        <v>4000</v>
      </c>
      <c r="G26" s="4">
        <f t="shared" si="1"/>
        <v>3000</v>
      </c>
      <c r="H26" s="4">
        <f t="shared" si="2"/>
        <v>372000</v>
      </c>
      <c r="I26" s="6">
        <f t="shared" si="3"/>
        <v>93000</v>
      </c>
    </row>
    <row r="27" spans="1:9" x14ac:dyDescent="0.3">
      <c r="A27" s="2">
        <v>43971</v>
      </c>
      <c r="B27" t="s">
        <v>14</v>
      </c>
      <c r="C27" t="s">
        <v>15</v>
      </c>
      <c r="D27" t="s">
        <v>26</v>
      </c>
      <c r="E27" s="3">
        <v>143</v>
      </c>
      <c r="F27" s="4">
        <f t="shared" si="0"/>
        <v>600</v>
      </c>
      <c r="G27" s="4">
        <f t="shared" si="1"/>
        <v>400</v>
      </c>
      <c r="H27" s="4">
        <f t="shared" si="2"/>
        <v>85800</v>
      </c>
      <c r="I27" s="6">
        <f t="shared" si="3"/>
        <v>28600</v>
      </c>
    </row>
    <row r="28" spans="1:9" x14ac:dyDescent="0.3">
      <c r="A28" s="2">
        <v>44452</v>
      </c>
      <c r="B28" t="s">
        <v>23</v>
      </c>
      <c r="C28" t="s">
        <v>9</v>
      </c>
      <c r="D28" t="s">
        <v>13</v>
      </c>
      <c r="E28" s="3">
        <v>143</v>
      </c>
      <c r="F28" s="4">
        <f t="shared" si="0"/>
        <v>3500</v>
      </c>
      <c r="G28" s="4">
        <f t="shared" si="1"/>
        <v>2500</v>
      </c>
      <c r="H28" s="4">
        <f t="shared" si="2"/>
        <v>500500</v>
      </c>
      <c r="I28" s="6">
        <f t="shared" si="3"/>
        <v>143000</v>
      </c>
    </row>
    <row r="29" spans="1:9" x14ac:dyDescent="0.3">
      <c r="A29" s="2">
        <v>44496</v>
      </c>
      <c r="B29" t="s">
        <v>25</v>
      </c>
      <c r="C29" t="s">
        <v>18</v>
      </c>
      <c r="D29" t="s">
        <v>26</v>
      </c>
      <c r="E29" s="3">
        <v>99</v>
      </c>
      <c r="F29" s="4">
        <f t="shared" si="0"/>
        <v>600</v>
      </c>
      <c r="G29" s="4">
        <f t="shared" si="1"/>
        <v>400</v>
      </c>
      <c r="H29" s="4">
        <f t="shared" si="2"/>
        <v>59400</v>
      </c>
      <c r="I29" s="6">
        <f t="shared" si="3"/>
        <v>19800</v>
      </c>
    </row>
    <row r="30" spans="1:9" x14ac:dyDescent="0.3">
      <c r="A30" s="2">
        <v>44187</v>
      </c>
      <c r="B30" t="s">
        <v>17</v>
      </c>
      <c r="C30" t="s">
        <v>9</v>
      </c>
      <c r="D30" t="s">
        <v>19</v>
      </c>
      <c r="E30" s="3">
        <v>120</v>
      </c>
      <c r="F30" s="4">
        <f t="shared" si="0"/>
        <v>1000</v>
      </c>
      <c r="G30" s="4">
        <f t="shared" si="1"/>
        <v>700</v>
      </c>
      <c r="H30" s="4">
        <f t="shared" si="2"/>
        <v>120000</v>
      </c>
      <c r="I30" s="6">
        <f t="shared" si="3"/>
        <v>36000</v>
      </c>
    </row>
    <row r="31" spans="1:9" x14ac:dyDescent="0.3">
      <c r="A31" s="2">
        <v>44405</v>
      </c>
      <c r="B31" t="s">
        <v>11</v>
      </c>
      <c r="C31" t="s">
        <v>15</v>
      </c>
      <c r="D31" t="s">
        <v>13</v>
      </c>
      <c r="E31" s="3">
        <v>66</v>
      </c>
      <c r="F31" s="4">
        <f t="shared" si="0"/>
        <v>3500</v>
      </c>
      <c r="G31" s="4">
        <f t="shared" si="1"/>
        <v>2500</v>
      </c>
      <c r="H31" s="4">
        <f t="shared" si="2"/>
        <v>231000</v>
      </c>
      <c r="I31" s="6">
        <f t="shared" si="3"/>
        <v>66000</v>
      </c>
    </row>
    <row r="32" spans="1:9" x14ac:dyDescent="0.3">
      <c r="A32" s="2">
        <v>44103</v>
      </c>
      <c r="B32" t="s">
        <v>25</v>
      </c>
      <c r="C32" t="s">
        <v>18</v>
      </c>
      <c r="D32" t="s">
        <v>16</v>
      </c>
      <c r="E32" s="3">
        <v>88</v>
      </c>
      <c r="F32" s="4">
        <f t="shared" si="0"/>
        <v>1200</v>
      </c>
      <c r="G32" s="4">
        <f t="shared" si="1"/>
        <v>800</v>
      </c>
      <c r="H32" s="4">
        <f t="shared" si="2"/>
        <v>105600</v>
      </c>
      <c r="I32" s="6">
        <f t="shared" si="3"/>
        <v>35200</v>
      </c>
    </row>
    <row r="33" spans="1:9" x14ac:dyDescent="0.3">
      <c r="A33" s="2">
        <v>44126</v>
      </c>
      <c r="B33" t="s">
        <v>17</v>
      </c>
      <c r="C33" t="s">
        <v>12</v>
      </c>
      <c r="D33" t="s">
        <v>28</v>
      </c>
      <c r="E33" s="3">
        <v>127</v>
      </c>
      <c r="F33" s="4">
        <f t="shared" si="0"/>
        <v>10000</v>
      </c>
      <c r="G33" s="4">
        <f t="shared" si="1"/>
        <v>7000</v>
      </c>
      <c r="H33" s="4">
        <f t="shared" si="2"/>
        <v>1270000</v>
      </c>
      <c r="I33" s="6">
        <f t="shared" si="3"/>
        <v>381000</v>
      </c>
    </row>
    <row r="34" spans="1:9" x14ac:dyDescent="0.3">
      <c r="A34" s="2">
        <v>43970</v>
      </c>
      <c r="B34" t="s">
        <v>20</v>
      </c>
      <c r="C34" t="s">
        <v>9</v>
      </c>
      <c r="D34" t="s">
        <v>21</v>
      </c>
      <c r="E34" s="3">
        <v>67</v>
      </c>
      <c r="F34" s="4">
        <f t="shared" si="0"/>
        <v>4000</v>
      </c>
      <c r="G34" s="4">
        <f t="shared" si="1"/>
        <v>3000</v>
      </c>
      <c r="H34" s="4">
        <f t="shared" si="2"/>
        <v>268000</v>
      </c>
      <c r="I34" s="6">
        <f t="shared" si="3"/>
        <v>67000</v>
      </c>
    </row>
    <row r="35" spans="1:9" x14ac:dyDescent="0.3">
      <c r="A35" s="2">
        <v>44536</v>
      </c>
      <c r="B35" t="s">
        <v>11</v>
      </c>
      <c r="C35" t="s">
        <v>12</v>
      </c>
      <c r="D35" t="s">
        <v>16</v>
      </c>
      <c r="E35" s="3">
        <v>67</v>
      </c>
      <c r="F35" s="4">
        <f t="shared" si="0"/>
        <v>1200</v>
      </c>
      <c r="G35" s="4">
        <f t="shared" si="1"/>
        <v>800</v>
      </c>
      <c r="H35" s="4">
        <f t="shared" si="2"/>
        <v>80400</v>
      </c>
      <c r="I35" s="6">
        <f t="shared" si="3"/>
        <v>26800</v>
      </c>
    </row>
    <row r="36" spans="1:9" x14ac:dyDescent="0.3">
      <c r="A36" s="2">
        <v>44069</v>
      </c>
      <c r="B36" t="s">
        <v>27</v>
      </c>
      <c r="C36" t="s">
        <v>15</v>
      </c>
      <c r="D36" t="s">
        <v>19</v>
      </c>
      <c r="E36" s="3">
        <v>149</v>
      </c>
      <c r="F36" s="4">
        <f t="shared" si="0"/>
        <v>1000</v>
      </c>
      <c r="G36" s="4">
        <f t="shared" si="1"/>
        <v>700</v>
      </c>
      <c r="H36" s="4">
        <f t="shared" si="2"/>
        <v>149000</v>
      </c>
      <c r="I36" s="6">
        <f t="shared" si="3"/>
        <v>44700</v>
      </c>
    </row>
    <row r="37" spans="1:9" x14ac:dyDescent="0.3">
      <c r="A37" s="2">
        <v>44378</v>
      </c>
      <c r="B37" t="s">
        <v>20</v>
      </c>
      <c r="C37" t="s">
        <v>18</v>
      </c>
      <c r="D37" t="s">
        <v>26</v>
      </c>
      <c r="E37" s="3">
        <v>104</v>
      </c>
      <c r="F37" s="4">
        <f t="shared" si="0"/>
        <v>600</v>
      </c>
      <c r="G37" s="4">
        <f t="shared" si="1"/>
        <v>400</v>
      </c>
      <c r="H37" s="4">
        <f t="shared" si="2"/>
        <v>62400</v>
      </c>
      <c r="I37" s="6">
        <f t="shared" si="3"/>
        <v>20800</v>
      </c>
    </row>
    <row r="38" spans="1:9" x14ac:dyDescent="0.3">
      <c r="A38" s="2">
        <v>44404</v>
      </c>
      <c r="B38" t="s">
        <v>24</v>
      </c>
      <c r="C38" t="s">
        <v>9</v>
      </c>
      <c r="D38" t="s">
        <v>26</v>
      </c>
      <c r="E38" s="3">
        <v>57</v>
      </c>
      <c r="F38" s="4">
        <f t="shared" si="0"/>
        <v>600</v>
      </c>
      <c r="G38" s="4">
        <f t="shared" si="1"/>
        <v>400</v>
      </c>
      <c r="H38" s="4">
        <f t="shared" si="2"/>
        <v>34200</v>
      </c>
      <c r="I38" s="6">
        <f t="shared" si="3"/>
        <v>11400</v>
      </c>
    </row>
    <row r="39" spans="1:9" x14ac:dyDescent="0.3">
      <c r="A39" s="2">
        <v>44109</v>
      </c>
      <c r="B39" t="s">
        <v>14</v>
      </c>
      <c r="C39" t="s">
        <v>12</v>
      </c>
      <c r="D39" t="s">
        <v>26</v>
      </c>
      <c r="E39" s="3">
        <v>90</v>
      </c>
      <c r="F39" s="4">
        <f t="shared" si="0"/>
        <v>600</v>
      </c>
      <c r="G39" s="4">
        <f t="shared" si="1"/>
        <v>400</v>
      </c>
      <c r="H39" s="4">
        <f t="shared" si="2"/>
        <v>54000</v>
      </c>
      <c r="I39" s="6">
        <f t="shared" si="3"/>
        <v>18000</v>
      </c>
    </row>
    <row r="40" spans="1:9" x14ac:dyDescent="0.3">
      <c r="A40" s="2">
        <v>44076</v>
      </c>
      <c r="B40" t="s">
        <v>22</v>
      </c>
      <c r="C40" t="s">
        <v>15</v>
      </c>
      <c r="D40" t="s">
        <v>26</v>
      </c>
      <c r="E40" s="3">
        <v>67</v>
      </c>
      <c r="F40" s="4">
        <f t="shared" si="0"/>
        <v>600</v>
      </c>
      <c r="G40" s="4">
        <f t="shared" si="1"/>
        <v>400</v>
      </c>
      <c r="H40" s="4">
        <f t="shared" si="2"/>
        <v>40200</v>
      </c>
      <c r="I40" s="6">
        <f t="shared" si="3"/>
        <v>13400</v>
      </c>
    </row>
    <row r="41" spans="1:9" x14ac:dyDescent="0.3">
      <c r="A41" s="2">
        <v>44441</v>
      </c>
      <c r="B41" t="s">
        <v>8</v>
      </c>
      <c r="C41" t="s">
        <v>18</v>
      </c>
      <c r="D41" t="s">
        <v>21</v>
      </c>
      <c r="E41" s="3">
        <v>127</v>
      </c>
      <c r="F41" s="4">
        <f t="shared" si="0"/>
        <v>4000</v>
      </c>
      <c r="G41" s="4">
        <f t="shared" si="1"/>
        <v>3000</v>
      </c>
      <c r="H41" s="4">
        <f t="shared" si="2"/>
        <v>508000</v>
      </c>
      <c r="I41" s="6">
        <f t="shared" si="3"/>
        <v>127000</v>
      </c>
    </row>
    <row r="42" spans="1:9" x14ac:dyDescent="0.3">
      <c r="A42" s="2">
        <v>44299</v>
      </c>
      <c r="B42" t="s">
        <v>22</v>
      </c>
      <c r="C42" t="s">
        <v>9</v>
      </c>
      <c r="D42" t="s">
        <v>19</v>
      </c>
      <c r="E42" s="3">
        <v>108</v>
      </c>
      <c r="F42" s="4">
        <f t="shared" si="0"/>
        <v>1000</v>
      </c>
      <c r="G42" s="4">
        <f t="shared" si="1"/>
        <v>700</v>
      </c>
      <c r="H42" s="4">
        <f t="shared" si="2"/>
        <v>108000</v>
      </c>
      <c r="I42" s="6">
        <f t="shared" si="3"/>
        <v>32400</v>
      </c>
    </row>
    <row r="43" spans="1:9" x14ac:dyDescent="0.3">
      <c r="A43" s="2">
        <v>44322</v>
      </c>
      <c r="B43" t="s">
        <v>14</v>
      </c>
      <c r="C43" t="s">
        <v>12</v>
      </c>
      <c r="D43" t="s">
        <v>13</v>
      </c>
      <c r="E43" s="3">
        <v>66</v>
      </c>
      <c r="F43" s="4">
        <f t="shared" si="0"/>
        <v>3500</v>
      </c>
      <c r="G43" s="4">
        <f t="shared" si="1"/>
        <v>2500</v>
      </c>
      <c r="H43" s="4">
        <f t="shared" si="2"/>
        <v>231000</v>
      </c>
      <c r="I43" s="6">
        <f t="shared" si="3"/>
        <v>66000</v>
      </c>
    </row>
    <row r="44" spans="1:9" x14ac:dyDescent="0.3">
      <c r="A44" s="2">
        <v>44211</v>
      </c>
      <c r="B44" t="s">
        <v>8</v>
      </c>
      <c r="C44" t="s">
        <v>18</v>
      </c>
      <c r="D44" t="s">
        <v>10</v>
      </c>
      <c r="E44" s="3">
        <v>78</v>
      </c>
      <c r="F44" s="4">
        <f t="shared" si="0"/>
        <v>6000</v>
      </c>
      <c r="G44" s="4">
        <f t="shared" si="1"/>
        <v>4000</v>
      </c>
      <c r="H44" s="4">
        <f t="shared" si="2"/>
        <v>468000</v>
      </c>
      <c r="I44" s="6">
        <f t="shared" si="3"/>
        <v>156000</v>
      </c>
    </row>
    <row r="45" spans="1:9" x14ac:dyDescent="0.3">
      <c r="A45" s="2">
        <v>44070</v>
      </c>
      <c r="B45" t="s">
        <v>24</v>
      </c>
      <c r="C45" t="s">
        <v>15</v>
      </c>
      <c r="D45" t="s">
        <v>19</v>
      </c>
      <c r="E45" s="3">
        <v>69</v>
      </c>
      <c r="F45" s="4">
        <f t="shared" si="0"/>
        <v>1000</v>
      </c>
      <c r="G45" s="4">
        <f t="shared" si="1"/>
        <v>700</v>
      </c>
      <c r="H45" s="4">
        <f t="shared" si="2"/>
        <v>69000</v>
      </c>
      <c r="I45" s="6">
        <f t="shared" si="3"/>
        <v>20700</v>
      </c>
    </row>
    <row r="46" spans="1:9" x14ac:dyDescent="0.3">
      <c r="A46" s="2">
        <v>44232</v>
      </c>
      <c r="B46" t="s">
        <v>20</v>
      </c>
      <c r="C46" t="s">
        <v>9</v>
      </c>
      <c r="D46" t="s">
        <v>16</v>
      </c>
      <c r="E46" s="3">
        <v>59</v>
      </c>
      <c r="F46" s="4">
        <f t="shared" si="0"/>
        <v>1200</v>
      </c>
      <c r="G46" s="4">
        <f t="shared" si="1"/>
        <v>800</v>
      </c>
      <c r="H46" s="4">
        <f t="shared" si="2"/>
        <v>70800</v>
      </c>
      <c r="I46" s="6">
        <f t="shared" si="3"/>
        <v>23600</v>
      </c>
    </row>
    <row r="47" spans="1:9" x14ac:dyDescent="0.3">
      <c r="A47" s="2">
        <v>44517</v>
      </c>
      <c r="B47" t="s">
        <v>27</v>
      </c>
      <c r="C47" t="s">
        <v>15</v>
      </c>
      <c r="D47" t="s">
        <v>26</v>
      </c>
      <c r="E47" s="3">
        <v>109</v>
      </c>
      <c r="F47" s="4">
        <f t="shared" si="0"/>
        <v>600</v>
      </c>
      <c r="G47" s="4">
        <f t="shared" si="1"/>
        <v>400</v>
      </c>
      <c r="H47" s="4">
        <f t="shared" si="2"/>
        <v>65400</v>
      </c>
      <c r="I47" s="6">
        <f t="shared" si="3"/>
        <v>21800</v>
      </c>
    </row>
    <row r="48" spans="1:9" x14ac:dyDescent="0.3">
      <c r="A48" s="2">
        <v>44193</v>
      </c>
      <c r="B48" t="s">
        <v>25</v>
      </c>
      <c r="C48" t="s">
        <v>12</v>
      </c>
      <c r="D48" t="s">
        <v>21</v>
      </c>
      <c r="E48" s="3">
        <v>61</v>
      </c>
      <c r="F48" s="4">
        <f t="shared" si="0"/>
        <v>4000</v>
      </c>
      <c r="G48" s="4">
        <f t="shared" si="1"/>
        <v>3000</v>
      </c>
      <c r="H48" s="4">
        <f t="shared" si="2"/>
        <v>244000</v>
      </c>
      <c r="I48" s="6">
        <f t="shared" si="3"/>
        <v>61000</v>
      </c>
    </row>
    <row r="49" spans="1:9" x14ac:dyDescent="0.3">
      <c r="A49" s="2">
        <v>44496</v>
      </c>
      <c r="B49" t="s">
        <v>20</v>
      </c>
      <c r="C49" t="s">
        <v>18</v>
      </c>
      <c r="D49" t="s">
        <v>26</v>
      </c>
      <c r="E49" s="3">
        <v>130</v>
      </c>
      <c r="F49" s="4">
        <f t="shared" si="0"/>
        <v>600</v>
      </c>
      <c r="G49" s="4">
        <f t="shared" si="1"/>
        <v>400</v>
      </c>
      <c r="H49" s="4">
        <f t="shared" si="2"/>
        <v>78000</v>
      </c>
      <c r="I49" s="6">
        <f t="shared" si="3"/>
        <v>26000</v>
      </c>
    </row>
    <row r="50" spans="1:9" x14ac:dyDescent="0.3">
      <c r="A50" s="2">
        <v>44502</v>
      </c>
      <c r="B50" t="s">
        <v>17</v>
      </c>
      <c r="C50" t="s">
        <v>15</v>
      </c>
      <c r="D50" t="s">
        <v>13</v>
      </c>
      <c r="E50" s="3">
        <v>60</v>
      </c>
      <c r="F50" s="4">
        <f t="shared" si="0"/>
        <v>3500</v>
      </c>
      <c r="G50" s="4">
        <f t="shared" si="1"/>
        <v>2500</v>
      </c>
      <c r="H50" s="4">
        <f t="shared" si="2"/>
        <v>210000</v>
      </c>
      <c r="I50" s="6">
        <f t="shared" si="3"/>
        <v>60000</v>
      </c>
    </row>
    <row r="51" spans="1:9" x14ac:dyDescent="0.3">
      <c r="A51" s="2">
        <v>43958</v>
      </c>
      <c r="B51" t="s">
        <v>11</v>
      </c>
      <c r="C51" t="s">
        <v>12</v>
      </c>
      <c r="D51" t="s">
        <v>10</v>
      </c>
      <c r="E51" s="3">
        <v>73</v>
      </c>
      <c r="F51" s="4">
        <f t="shared" si="0"/>
        <v>6000</v>
      </c>
      <c r="G51" s="4">
        <f t="shared" si="1"/>
        <v>4000</v>
      </c>
      <c r="H51" s="4">
        <f t="shared" si="2"/>
        <v>438000</v>
      </c>
      <c r="I51" s="6">
        <f t="shared" si="3"/>
        <v>146000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Detail1</vt:lpstr>
      <vt:lpstr>Sheet1</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V Akshay Kumar</cp:lastModifiedBy>
  <dcterms:created xsi:type="dcterms:W3CDTF">2024-05-30T14:35:02Z</dcterms:created>
  <dcterms:modified xsi:type="dcterms:W3CDTF">2026-03-27T05:12:43Z</dcterms:modified>
</cp:coreProperties>
</file>